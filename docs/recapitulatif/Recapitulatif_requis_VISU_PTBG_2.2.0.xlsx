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ynthèse" sheetId="1" state="visible" r:id="rId3"/>
    <sheet name="Requis" sheetId="2" state="visible" r:id="rId4"/>
    <sheet name="Commentaires Sébastien" sheetId="3" state="visible" r:id="rId5"/>
    <sheet name="Points ouverts" sheetId="4" state="visible" r:id="rId6"/>
    <sheet name="Programmes" sheetId="5" state="visible" r:id="rId7"/>
    <sheet name="Tests" sheetId="6" state="visible" r:id="rId8"/>
  </sheets>
  <definedNames>
    <definedName function="false" hidden="false" localSheetId="2" name="_xlnm.Print_Titles" vbProcedure="false">'Commentaires Sébastien'!$1:$1</definedName>
    <definedName function="false" hidden="true" localSheetId="2" name="_xlnm._FilterDatabase" vbProcedure="false">'Commentaires Sébastien'!$A$1:$H$5</definedName>
    <definedName function="false" hidden="false" localSheetId="3" name="_xlnm.Print_Titles" vbProcedure="false">'Points ouverts'!$1:$1</definedName>
    <definedName function="false" hidden="true" localSheetId="3" name="_xlnm._FilterDatabase" vbProcedure="false">'Points ouverts'!$A$1:$F$18</definedName>
    <definedName function="false" hidden="false" localSheetId="4" name="_xlnm.Print_Titles" vbProcedure="false">Programmes!$1:$1</definedName>
    <definedName function="false" hidden="true" localSheetId="4" name="_xlnm._FilterDatabase" vbProcedure="false">Programmes!$A$1:$F$46</definedName>
    <definedName function="false" hidden="false" localSheetId="1" name="_xlnm.Print_Titles" vbProcedure="false">Requis!$1:$1</definedName>
    <definedName function="false" hidden="true" localSheetId="1" name="_xlnm._FilterDatabase" vbProcedure="false">Requis!$A$1:$L$65</definedName>
    <definedName function="false" hidden="false" localSheetId="5" name="_xlnm.Print_Titles" vbProcedure="false">Tests!$1:$1</definedName>
    <definedName function="false" hidden="true" localSheetId="5" name="_xlnm._FilterDatabase" vbProcedure="false">Tests!$A$1:$E$132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<sst xmlns="http://schemas.openxmlformats.org/spreadsheetml/2006/main" count="1570" uniqueCount="987">
  <si>
    <t xml:space="preserve">Récapitulatif des requis — VISU PTBG 2.2.0</t>
  </si>
  <si>
    <t xml:space="preserve">Spécification NCS/00/I/COMMON----/ES/010 Rev. A (13/10/2026) — relecture : Sébastien Kubasik — état au 28/10/2026</t>
  </si>
  <si>
    <t xml:space="preserve">Statut</t>
  </si>
  <si>
    <t xml:space="preserve">Lignes de requis</t>
  </si>
  <si>
    <t xml:space="preserve">Part</t>
  </si>
  <si>
    <t xml:space="preserve">Implémenté et testé</t>
  </si>
  <si>
    <t xml:space="preserve">Interprétation à valider</t>
  </si>
  <si>
    <t xml:space="preserve">Proposition (énoncé vide)</t>
  </si>
  <si>
    <t xml:space="preserve">Qualification à faire</t>
  </si>
  <si>
    <t xml:space="preserve">Total</t>
  </si>
  <si>
    <t xml:space="preserve">Lignes de requis dans le Word (contrôle)</t>
  </si>
  <si>
    <t xml:space="preserve">Requis sans programme cité</t>
  </si>
  <si>
    <t xml:space="preserve">Requis sans test automatique</t>
  </si>
  <si>
    <t xml:space="preserve">Commentaires de Sébastien traités</t>
  </si>
  <si>
    <t xml:space="preserve">Points ouverts à faire valider</t>
  </si>
  <si>
    <t xml:space="preserve">Tests automatiques</t>
  </si>
  <si>
    <t xml:space="preserve">Fichiers de programme</t>
  </si>
  <si>
    <t xml:space="preserve">Par section du Word</t>
  </si>
  <si>
    <t xml:space="preserve">Section</t>
  </si>
  <si>
    <t xml:space="preserve">2.1 Caractéristiques des sources</t>
  </si>
  <si>
    <t xml:space="preserve">2.2 Contenu des sources</t>
  </si>
  <si>
    <t xml:space="preserve">2.3 Caractéristiques des fichiers</t>
  </si>
  <si>
    <t xml:space="preserve">6 (Word) Architecture</t>
  </si>
  <si>
    <t xml:space="preserve">3.1 Définition de la base de temps</t>
  </si>
  <si>
    <t xml:space="preserve">4.1 Fenêtre principale</t>
  </si>
  <si>
    <t xml:space="preserve">4.2 Arbre des données</t>
  </si>
  <si>
    <t xml:space="preserve">4.3 Modèles</t>
  </si>
  <si>
    <t xml:space="preserve">4.4 Outils graphiques</t>
  </si>
  <si>
    <t xml:space="preserve">4.5 Traitement conditionnel</t>
  </si>
  <si>
    <t xml:space="preserve">5 Sortie (rapport)</t>
  </si>
  <si>
    <t xml:space="preserve">Lecture des statuts :</t>
  </si>
  <si>
    <t xml:space="preserve">• Implémenté et testé : fonction présente et vérifiée par au moins un test automatique (131 tests, tous OK).</t>
  </si>
  <si>
    <t xml:space="preserve">• Interprétation à valider : réalisé selon une interprétation documentée (onglet « Points ouverts ») à confirmer par Sébastien.</t>
  </si>
  <si>
    <t xml:space="preserve">• Proposition (énoncé vide) : REQ 5500 n'a pas d'énoncé dans la Rev. A ; une fonction est proposée.</t>
  </si>
  <si>
    <t xml:space="preserve">• Qualification à faire : réalisé et testé sous Linux ; essai à consigner sur Windows 11 / SLES 15 SP7 réels (3000) ou sur volumes réels (4105).</t>
  </si>
  <si>
    <t xml:space="preserve">Vérifications faites le 28/10/2026 : 64 lignes du Word toutes présentes dans la matrice, chaque requis cité dans le code et dans au moins un test</t>
  </si>
  <si>
    <t xml:space="preserve">(tools/verifier_tracabilite.py : « Traçabilité complète ») ; chaque fichier, fonction et test cité ici existe ; 131/131 tests OK (Python 3.11 de référence,</t>
  </si>
  <si>
    <t xml:space="preserve">et campagne Python 3.10 à 3.14, Tk 8.6 et 9). Colonne jaune « Réponse de Sébastien » de l'onglet Points ouverts : à remplir lors de la revue.</t>
  </si>
  <si>
    <t xml:space="preserve">Section du Word</t>
  </si>
  <si>
    <t xml:space="preserve">Requis</t>
  </si>
  <si>
    <t xml:space="preserve">Énoncé d'origine (Word Rev. A)</t>
  </si>
  <si>
    <t xml:space="preserve">Commentaire de Sébastien (Word)</t>
  </si>
  <si>
    <t xml:space="preserve">Ce qui est demandé (lecture)</t>
  </si>
  <si>
    <t xml:space="preserve">Comment on l'a fait</t>
  </si>
  <si>
    <t xml:space="preserve">Programme(s) — fichier (fonction)</t>
  </si>
  <si>
    <t xml:space="preserve">Test(s) automatique(s)</t>
  </si>
  <si>
    <t xml:space="preserve">Nb tests</t>
  </si>
  <si>
    <t xml:space="preserve">Statut détaillé</t>
  </si>
  <si>
    <t xml:space="preserve">Point(s) ouvert(s)</t>
  </si>
  <si>
    <t xml:space="preserve">REQ_COMMON_KH_2100</t>
  </si>
  <si>
    <t xml:space="preserve">The PLC can run at different frequencies. Preferred are 10 &amp; 20ms, but the present tool can’t be disturbed by this aspect</t>
  </si>
  <si>
    <t xml:space="preserve">Fréquences différentes (10 et 20 ms préférées) sans perturber l'outil</t>
  </si>
  <si>
    <t xml:space="preserve">Raster estimé par fichier (médiane des Δt) ; toute période acceptée ; hors 10/20 ms = simple information</t>
  </si>
  <si>
    <t xml:space="preserve">core/time_base.py (_add_checks)</t>
  </si>
  <si>
    <t xml:space="preserve">test_time_base.test_preferred_frequencies_are_information_only</t>
  </si>
  <si>
    <t xml:space="preserve">REQ_COMMON_KH_2101</t>
  </si>
  <si>
    <t xml:space="preserve">The PLC can consist of a system composed by several PLC</t>
  </si>
  <si>
    <t xml:space="preserve">Système de plusieurs PLC</t>
  </si>
  <si>
    <t xml:space="preserve">Paquet de données = un CSV par PLC ; plusieurs paquets possibles</t>
  </si>
  <si>
    <t xml:space="preserve">core/data_package.py (DataPackage, Workspace)</t>
  </si>
  <si>
    <t xml:space="preserve">test_package_report.test_multi_plc_package_and_comparison</t>
  </si>
  <si>
    <t xml:space="preserve">REQ_COMMON_KH_2102</t>
  </si>
  <si>
    <t xml:space="preserve">The PLC can be synchronized or not</t>
  </si>
  <si>
    <t xml:space="preserve">PLC synchronisés ou non</t>
  </si>
  <si>
    <t xml:space="preserve">Chaque fichier garde sa base ; alignement par origine absolue (axe absolu) ou décalage manuel affiché ; comparaison inter-sources</t>
  </si>
  <si>
    <t xml:space="preserve">core/data_package.py (Timeline), core/multi_source.py</t>
  </si>
  <si>
    <t xml:space="preserve">test_package_report.test_absolute_timeline_aligns_plcs
test_manual_offset</t>
  </si>
  <si>
    <t xml:space="preserve">REQ_COMMON_KH_2103</t>
  </si>
  <si>
    <t xml:space="preserve">Each PLC will produce its own package of data with its own timestamp.</t>
  </si>
  <si>
    <t xml:space="preserve">Chaque PLC produit son paquet avec son horodatage</t>
  </si>
  <si>
    <t xml:space="preserve">Base de temps propre à chaque SourceFile</t>
  </si>
  <si>
    <t xml:space="preserve">core/data_package.py</t>
  </si>
  <si>
    <t xml:space="preserve">REQ_COMMON_KH_2104</t>
  </si>
  <si>
    <t xml:space="preserve">The collection of data from several sources can generate variation of frequencies, dephasing, or loss of data flow</t>
  </si>
  <si>
    <t xml:space="preserve">Variations de fréquence, déphasage, perte de flux</t>
  </si>
  <si>
    <t xml:space="preserve">Changement de fréquence (segments), déphasage interne (Δt hors grille) et inter-PLC (écart médian), fin de flux décalée</t>
  </si>
  <si>
    <t xml:space="preserve">core/time_base.py, core/multi_source.py</t>
  </si>
  <si>
    <t xml:space="preserve">test_time_base.test_frequency_change_segments
test_many_frequency_changes_stay_linear
test_package_report.test_phase_between_synchronised_plcs
test_loss_of_data_flow_between_plcs</t>
  </si>
  <si>
    <t xml:space="preserve">REQ_COMMON_KH_2105</t>
  </si>
  <si>
    <t xml:space="preserve">Single or multiple files</t>
  </si>
  <si>
    <t xml:space="preserve">Fichier unique ou multiple</t>
  </si>
  <si>
    <t xml:space="preserve">Ouverture de plusieurs CSV ou d'un dossier (récursif) ; un fichier illisible n'empêche pas les autres</t>
  </si>
  <si>
    <t xml:space="preserve">gui/app.py (open_files, open_folder, _load)</t>
  </si>
  <si>
    <t xml:space="preserve">test_csv_reader.test_unreadable_file_isolated
test_gui.test_tree_levels_and_types</t>
  </si>
  <si>
    <t xml:space="preserve">REQ_COMMON_KH_2200</t>
  </si>
  <si>
    <t xml:space="preserve">Binary signal</t>
  </si>
  <si>
    <t xml:space="preserve">Signal binaire</t>
  </si>
  <si>
    <t xml:space="preserve">Type Bool (true/false ou 0/1), tracé en escalier sur piste logique</t>
  </si>
  <si>
    <t xml:space="preserve">core/signals.py, plotting/renderer.py</t>
  </si>
  <si>
    <t xml:space="preserve">test_csv_reader.test_auto_types</t>
  </si>
  <si>
    <t xml:space="preserve">REQ_COMMON_KH_2201 (1re ligne)</t>
  </si>
  <si>
    <t xml:space="preserve">Analog signal type : float</t>
  </si>
  <si>
    <t xml:space="preserve">Signal analogique : float</t>
  </si>
  <si>
    <t xml:space="preserve">Type Float, tracé continu, lu au plus proche échantillon</t>
  </si>
  <si>
    <t xml:space="preserve">core/signals.py</t>
  </si>
  <si>
    <t xml:space="preserve">n° 5</t>
  </si>
  <si>
    <t xml:space="preserve">REQ_COMMON_KH_2201 (2e ligne)</t>
  </si>
  <si>
    <t xml:space="preserve">Binary group signal</t>
  </si>
  <si>
    <t xml:space="preserve">Signal groupe binaire</t>
  </si>
  <si>
    <t xml:space="preserve">Groupe de Bool (détecté pour NOM[i]/NOM.i ou créé par l'utilisateur), pistes regroupées et mot binaire lu au curseur</t>
  </si>
  <si>
    <t xml:space="preserve">core/signals.py (BinaryGroup), core/curves.py</t>
  </si>
  <si>
    <t xml:space="preserve">test_csv_reader.test_indexed_binary_groups
test_gui.test_tree_levels_and_types</t>
  </si>
  <si>
    <t xml:space="preserve">Implémenté — interprétation à valider (codage du groupe)</t>
  </si>
  <si>
    <t xml:space="preserve">REQ_COMMON_KH_2300</t>
  </si>
  <si>
    <t xml:space="preserve">The preferred format shall be ‘csv’</t>
  </si>
  <si>
    <t xml:space="preserve">Format préféré csv</t>
  </si>
  <si>
    <t xml:space="preserve">Toute extension lisible ; extension ≠ .csv signalée</t>
  </si>
  <si>
    <t xml:space="preserve">core/csv_reader.py (_check_file)</t>
  </si>
  <si>
    <t xml:space="preserve">test_csv_reader.test_other_extension_warned</t>
  </si>
  <si>
    <t xml:space="preserve">REQ_COMMON_KH_2301</t>
  </si>
  <si>
    <t xml:space="preserve">Separator shall be a comma ‘,’</t>
  </si>
  <si>
    <t xml:space="preserve">Séparateur virgule</t>
  </si>
  <si>
    <t xml:space="preserve">Contrôle de cohérence du nombre de champs par séparateur candidat (« ; » avec virgule décimale, tabulation, « | » refusés) ; lignes au mauvais nombre de champs rejetées, listées avec leur extrait ; virgule décimale dans un fichier à virgules : refus expliqué, aucune fausse colonne créée</t>
  </si>
  <si>
    <t xml:space="preserve">core/csv_reader.py (_check_separator)</t>
  </si>
  <si>
    <t xml:space="preserve">test_csv_reader.test_semicolon_separator_rejected
test_robustesse.test_semicolon_with_decimal_comma_rejected
test_decimal_comma_in_comma_file_never_invents_columns
test_rows_with_wrong_width_rejected_and_quoted
test_block_boundaries_never_change_the_result</t>
  </si>
  <si>
    <t xml:space="preserve">n° 14</t>
  </si>
  <si>
    <t xml:space="preserve">REQ_COMMON_KH_2302</t>
  </si>
  <si>
    <t xml:space="preserve">Text format UTF8</t>
  </si>
  <si>
    <t xml:space="preserve">Texte UTF-8</t>
  </si>
  <si>
    <t xml:space="preserve">Contrôle UTF-8 de tout le fichier ; BOM toléré (information) ; octets non UTF-8 lus en Windows-1252 et UTF-16 lu, avec non-conformité ERREUR citant la 1re ligne fautive (les mesures restent exploitables) ; octets nuls signalés</t>
  </si>
  <si>
    <t xml:space="preserve">core/csv_reader.py</t>
  </si>
  <si>
    <t xml:space="preserve">test_csv_reader.test_non_utf8_read_but_flagged_with_requirement
test_bom_tolerated_and_reported
test_robustesse.test_invalid_byte_in_the_middle_is_flagged_not_fatal
test_utf16_is_read_and_flagged</t>
  </si>
  <si>
    <t xml:space="preserve">Implémenté — interprétation à valider (lecture signalée plutôt que refus)</t>
  </si>
  <si>
    <t xml:space="preserve">REQ_COMMON_KH_2303</t>
  </si>
  <si>
    <t xml:space="preserve">No additional meta data</t>
  </si>
  <si>
    <t xml:space="preserve">Pas de métadonnées</t>
  </si>
  <si>
    <t xml:space="preserve">Préambule de métadonnées repéré quelle que soit sa largeur (l'en-tête est la ligne qui précède la 1re ligne de mesures), lignes « # » ; signalés (non-conformité) et ignorés</t>
  </si>
  <si>
    <t xml:space="preserve">core/csv_reader.py (_locate_header)</t>
  </si>
  <si>
    <t xml:space="preserve">test_csv_reader.test_metadata_lines_reported_and_skipped
test_robustesse.test_preamble_of_same_width_is_metadata</t>
  </si>
  <si>
    <t xml:space="preserve">REQ_COMMON_KH_2304</t>
  </si>
  <si>
    <t xml:space="preserve">First column devoted to time base</t>
  </si>
  <si>
    <t xml:space="preserve">1re colonne = base de temps</t>
  </si>
  <si>
    <t xml:space="preserve">Toujours la 1re colonne, quel que soit son nom</t>
  </si>
  <si>
    <t xml:space="preserve">core/csv_reader.py, core/time_parser.py</t>
  </si>
  <si>
    <t xml:space="preserve">test_csv_reader.test_reads_examples_and_keeps_first_column_as_time</t>
  </si>
  <si>
    <t xml:space="preserve">REQ_COMMON_KH_2305</t>
  </si>
  <si>
    <t xml:space="preserve">Time stamp configuration:</t>
  </si>
  <si>
    <t xml:space="preserve">Sébastien Kubasik : Attention au pretrig! Est ce que temps négatif / reference absolue comme en Alspa???</t>
  </si>
  <si>
    <t xml:space="preserve">Configuration de l'horodatage</t>
  </si>
  <si>
    <t xml:space="preserve">Dialogue Base de temps : format, unité, période, tolérance, origine absolue, décalage, jitter ; pré-déclenchement en temps négatif (remarque du relecteur)</t>
  </si>
  <si>
    <t xml:space="preserve">core/time_parser.py (TimeBaseSettings), gui/dialogs/time_base_dialog.py</t>
  </si>
  <si>
    <t xml:space="preserve">test_time_parser.test_counter_with_assumed_unit_and_pretrig
test_unknown_format_is_an_error_not_a_crash</t>
  </si>
  <si>
    <t xml:space="preserve">Implémenté — interprétation à valider (pré-déclenchement)</t>
  </si>
  <si>
    <t xml:space="preserve">n° 1</t>
  </si>
  <si>
    <t xml:space="preserve">REQ_COMMON_KH_2306</t>
  </si>
  <si>
    <t xml:space="preserve">Hh:mn:s… micro, nanos…</t>
  </si>
  <si>
    <t xml:space="preserve">hh:mn:s… micro, nanos…</t>
  </si>
  <si>
    <t xml:space="preserve">hh:mm:ss.fraction jusqu'à 9 chiffres ou .mmm.uuu.nnn, passage de minuit (une heure isolée aberrante, vers l'arrière ou vers l'avant, n'en est pas un), calcul en ns entières, colonne décodée d'un coup (écritures atypiques reprises ligne par ligne)</t>
  </si>
  <si>
    <t xml:space="preserve">core/time_parser.py (_convert_time_of_day, _day_offsets), core/vector_parse.py</t>
  </si>
  <si>
    <t xml:space="preserve">test_time_parser.test_time_of_day_fraction_styles_and_midnight
test_column_and_line_by_line_conversions_agree
test_robustesse.test_isolated_forward_clock_value_does_not_shift_the_rest_by_a_day</t>
  </si>
  <si>
    <t xml:space="preserve">REQ_COMMON_KH_2307</t>
  </si>
  <si>
    <t xml:space="preserve">Time counter</t>
  </si>
  <si>
    <t xml:space="preserve">Compteur de temps</t>
  </si>
  <si>
    <t xml:space="preserve">Compteur ns, µs, ms, s, min, h ou cycles PLC ; unité lue dans l'en-tête ; sinon unité de la préférence SUPPOSÉE et signalée en avertissement (TBM non masquable) jusqu'à confirmation, applicable d'un coup à plusieurs fichiers ; grands entiers exacts</t>
  </si>
  <si>
    <t xml:space="preserve">core/time_parser.py (_convert_counter)</t>
  </si>
  <si>
    <t xml:space="preserve">test_time_parser.test_unit_from_header
test_cycle_unit_requires_period
test_big_integer_counter_keeps_precision
test_big_integer_counter_with_odd_rows
test_robustesse.test_assumed_unit_is_a_warning
test_gui.test_unit_confirmed_for_several_files</t>
  </si>
  <si>
    <t xml:space="preserve">Implémenté — interprétation à valider (unité d'un compteur sans unité)</t>
  </si>
  <si>
    <t xml:space="preserve">n° 10</t>
  </si>
  <si>
    <t xml:space="preserve">REQ_COMMON_KH_2308</t>
  </si>
  <si>
    <t xml:space="preserve">First row devoted to column’s header</t>
  </si>
  <si>
    <t xml:space="preserve">1re ligne = en-têtes</t>
  </si>
  <si>
    <t xml:space="preserve">1re ligne utile = en-tête ; sans en-tête, la 1re ligne de mesures est conservée et les colonnes nommées Colonne_1… ; en-tête répété au milieu (fichiers concaténés) ignoré et signalé</t>
  </si>
  <si>
    <t xml:space="preserve">core/csv_reader.py (normalize_header)</t>
  </si>
  <si>
    <t xml:space="preserve">test_csv_reader.test_numeric_first_line_flagged
test_robustesse.test_missing_header_keeps_the_first_measure
test_repeated_header_and_concatenated_captures</t>
  </si>
  <si>
    <t xml:space="preserve">REQ_COMMON_KH_2309</t>
  </si>
  <si>
    <t xml:space="preserve">Composed by PLC’s variables names</t>
  </si>
  <si>
    <t xml:space="preserve">Noms des variables PLC</t>
  </si>
  <si>
    <t xml:space="preserve">Noms vides et doublons renommés et signalés</t>
  </si>
  <si>
    <t xml:space="preserve">test_csv_reader.test_header_names_normalized</t>
  </si>
  <si>
    <t xml:space="preserve">REQ_COMMON_KH_2310</t>
  </si>
  <si>
    <t xml:space="preserve">Maximal size xxxMo</t>
  </si>
  <si>
    <t xml:space="preserve">Taille maximale « xxxMo »</t>
  </si>
  <si>
    <t xml:space="preserve">Paramètre max_file_size_mb (défaut 500 Mo, Outils &gt; Préférences) ; fichier refusé au-delà ; valeur à fixer avec le banc tools/banc_performance.py sur les postes cibles</t>
  </si>
  <si>
    <t xml:space="preserve">config.py, core/csv_reader.py</t>
  </si>
  <si>
    <t xml:space="preserve">test_csv_reader.test_size_limit</t>
  </si>
  <si>
    <t xml:space="preserve">Implémenté — interprétation à valider (valeur xxx)</t>
  </si>
  <si>
    <t xml:space="preserve">n° 2</t>
  </si>
  <si>
    <t xml:space="preserve">REQ_COMMON_KH_3000</t>
  </si>
  <si>
    <t xml:space="preserve">Final tool shall be compatible with SLES - SUSE 15 SP7: ‘SUSE Linux Enterprise Server 15SP7’ at least</t>
  </si>
  <si>
    <t xml:space="preserve">Sébastien Kubasik : Ou Windows!? Besoin de déterminer la cible ou double compatibilité</t>
  </si>
  <si>
    <t xml:space="preserve">Compatible SLES 15 SP7 au moins (+ Windows, remarque du relecteur)</t>
  </si>
  <si>
    <t xml:space="preserve">Python + Tk + numpy + matplotlib, wheels vérifiées pour win_amd64 et manylinux (glibc 2.38 de SP7) ; scripts SLES et Windows ; Spyder 6</t>
  </si>
  <si>
    <t xml:space="preserve">system/compat.py, install/</t>
  </si>
  <si>
    <t xml:space="preserve">test_architecture.test_minimal_python_syntax
campagne multi-versions</t>
  </si>
  <si>
    <t xml:space="preserve">Implémenté — qualification sur cible à faire (Windows 11, SLES 15 SP7)</t>
  </si>
  <si>
    <t xml:space="preserve">n° 4</t>
  </si>
  <si>
    <t xml:space="preserve">REQ_COMMON_KH_3001</t>
  </si>
  <si>
    <t xml:space="preserve">Final tool shall be compatible with Python 3.6 at least</t>
  </si>
  <si>
    <t xml:space="preserve">Sébastien Kubasik : Ces versions évolueront forcément, c’est ici le point de départ observé avec le package TDS V1.1.0. Semble possible de disposer d’un upgrade Python3.11 pour SLES 15</t>
  </si>
  <si>
    <t xml:space="preserve">Compatible Python 3.6 au moins</t>
  </si>
  <si>
    <t xml:space="preserve">Lu comme « 3.6 minimum » : code vérifié de 3.10 à 3.14, référence 3.11 (décision du relecteur : Python 3.11 sur SLES 15)</t>
  </si>
  <si>
    <t xml:space="preserve">version.py (MIN_PYTHON)</t>
  </si>
  <si>
    <t xml:space="preserve">test_architecture.test_minimal_python_syntax</t>
  </si>
  <si>
    <t xml:space="preserve">Implémenté — interprétation à valider (3.6 strict exclu)</t>
  </si>
  <si>
    <t xml:space="preserve">n° 3</t>
  </si>
  <si>
    <t xml:space="preserve">REQ_COMMON_KH_3002</t>
  </si>
  <si>
    <t xml:space="preserve">MAIN.py script shall be devoted only to generate the GUI interface.</t>
  </si>
  <si>
    <t xml:space="preserve">MAIN.py dédié à la génération de l'IHM</t>
  </si>
  <si>
    <t xml:space="preserve">MAIN.py n'importe que l'IHM et ne contient que build_interface et main</t>
  </si>
  <si>
    <t xml:space="preserve">MAIN.py</t>
  </si>
  <si>
    <t xml:space="preserve">test_architecture.test_main_only_builds_the_gui</t>
  </si>
  <si>
    <t xml:space="preserve">REQ_COMMON_KH_3003</t>
  </si>
  <si>
    <t xml:space="preserve">All action realized by the tool shall be best as possible externalized into a dedicated sub script or class.</t>
  </si>
  <si>
    <t xml:space="preserve">Actions externalisées dans des sous-scripts ou classes</t>
  </si>
  <si>
    <t xml:space="preserve">Contrôleur gui/app.py, traitements dans core/, dessin plotting/, rapport report/ ; core/ sans Tk</t>
  </si>
  <si>
    <t xml:space="preserve">ptbg/</t>
  </si>
  <si>
    <t xml:space="preserve">test_architecture.test_processing_is_externalized_and_gui_free</t>
  </si>
  <si>
    <t xml:space="preserve">REQ_COMMON_KH_3004</t>
  </si>
  <si>
    <t xml:space="preserve">All additional packages or library implemented shall be documented and strictly aligned with the kernel version.</t>
  </si>
  <si>
    <t xml:space="preserve">Sébastien Kubasik : Il y a des packages transverses toute version et d’autre plus restrictifs avec independances. Le plus fréquemment il y a une sensibilité à la version de python, l’OS, et le cœur 32 ou 63 bits</t>
  </si>
  <si>
    <t xml:space="preserve">Paquets documentés et alignés sur la version du noyau Python</t>
  </si>
  <si>
    <t xml:space="preserve">requirements.txt figé et commenté, docs/DEPENDANCES.md (versions, licences, Python supportés, wheels, impacts de montée de version), relevé au démarrage</t>
  </si>
  <si>
    <t xml:space="preserve">system/environment.py, requirements.txt</t>
  </si>
  <si>
    <t xml:space="preserve">test_architecture.test_third_party_libraries_are_documented_and_pinned</t>
  </si>
  <si>
    <t xml:space="preserve">REQ_COMMON_KH_3005</t>
  </si>
  <si>
    <t xml:space="preserve">Compatibility mechanism between different OS Shall be documented.</t>
  </si>
  <si>
    <t xml:space="preserve">Mécanisme de compatibilité entre OS documenté</t>
  </si>
  <si>
    <t xml:space="preserve">Différences d'OS centralisées dans system/compat.py ; docs/COMPATIBILITE_OS.md</t>
  </si>
  <si>
    <t xml:space="preserve">system/compat.py</t>
  </si>
  <si>
    <t xml:space="preserve">test_architecture.test_os_specific_code_is_centralized</t>
  </si>
  <si>
    <t xml:space="preserve">REQ_COMMON_KH_3006</t>
  </si>
  <si>
    <t xml:space="preserve">Code source shall be commented</t>
  </si>
  <si>
    <t xml:space="preserve">Code source commenté</t>
  </si>
  <si>
    <t xml:space="preserve">Docstring par module, classe et fonction non triviale ; requis cités dans le code</t>
  </si>
  <si>
    <t xml:space="preserve">tout ptbg/</t>
  </si>
  <si>
    <t xml:space="preserve">test_architecture.test_sources_are_commented</t>
  </si>
  <si>
    <t xml:space="preserve">REQ_COMMON_KH_3007</t>
  </si>
  <si>
    <t xml:space="preserve">No useless function hold into the scripts</t>
  </si>
  <si>
    <t xml:space="preserve">Aucune fonction inutile</t>
  </si>
  <si>
    <t xml:space="preserve">Contrôle automatique : toute fonction définie est appelée ; analyse vulture</t>
  </si>
  <si>
    <t xml:space="preserve">test_architecture.test_no_unused_functions</t>
  </si>
  <si>
    <t xml:space="preserve">REQ_COMMON_KH_4100</t>
  </si>
  <si>
    <t xml:space="preserve">The present tool shall define the time raster from the source and control check:•Period value•Period stability•Period continuous increase</t>
  </si>
  <si>
    <t xml:space="preserve">Raster défini et contrôlé : valeur, stabilité, croissance continue</t>
  </si>
  <si>
    <t xml:space="preserve">3 contrôles nommés (+ données manquantes), statut OK / AVERTISSEMENT / ERREUR</t>
  </si>
  <si>
    <t xml:space="preserve">core/time_base.py (analyze, _add_checks)</t>
  </si>
  <si>
    <t xml:space="preserve">test_time_base.test_perfect_raster
test_duplicates_and_backward_are_errors</t>
  </si>
  <si>
    <t xml:space="preserve">Implémenté — interprétation à valider (tolérance 10 %, 10 intervalles)</t>
  </si>
  <si>
    <t xml:space="preserve">n° 9</t>
  </si>
  <si>
    <t xml:space="preserve">REQ_COMMON_KH_4101</t>
  </si>
  <si>
    <t xml:space="preserve">The present tool shall be capable to find and highlight the inconsistent time base like missing data or wrong phasing</t>
  </si>
  <si>
    <t xml:space="preserve">Repérer et mettre en évidence les incohérences (données manquantes, mauvais phasage)</t>
  </si>
  <si>
    <t xml:space="preserve">Trous (k × T), déphasage, doublons, retours arrière, horodatages illisibles et aberrants isolés ; marqueurs dans le TBM (y compris pour les horodatages illisibles), liste avec ligne CSV ; courbes interrompues ; croix sur cellules vides ; valeurs « nan »/« inf » et valeurs incompatibles avec le type comptées par variable</t>
  </si>
  <si>
    <t xml:space="preserve">core/time_base.py, plotting/monitor.py, core/sampling.py</t>
  </si>
  <si>
    <t xml:space="preserve">test_time_base.test_missing_samples_detected_and_kept_in_regular_time
test_wrong_phasing_detected
test_robustesse.test_isolated_aberrant_timestamp_is_one_error_not_a_fake_gap
test_nan_and_inf_are_missing_values_not_text</t>
  </si>
  <si>
    <t xml:space="preserve">REQ_COMMON_KH_4102</t>
  </si>
  <si>
    <t xml:space="preserve">A dedicated graphical axle shall be devoted to detail the time base conversion and status. It shall be automatically present on each graphical template and call: Time Base Monitor.</t>
  </si>
  <si>
    <t xml:space="preserve">Axe dédié « Time Base Monitor » détaillant conversion et statut, présent sur chaque template</t>
  </si>
  <si>
    <t xml:space="preserve">Ajouté automatiquement sous chaque disposition, même axe des temps ; texte de conversion et statut par fichier</t>
  </si>
  <si>
    <t xml:space="preserve">plotting/monitor.py, plotting/renderer.py</t>
  </si>
  <si>
    <t xml:space="preserve">test_package_report.test_every_template_has_time_base_monitor</t>
  </si>
  <si>
    <t xml:space="preserve">REQ_COMMON_KH_4103</t>
  </si>
  <si>
    <t xml:space="preserve">The time base monitor can be hidden by the issuer only if no warning or error.</t>
  </si>
  <si>
    <t xml:space="preserve">Masquable seulement sans avertissement ni erreur</t>
  </si>
  <si>
    <t xml:space="preserve">Bouton refusé avec explication ; réaffichage automatique si une alerte apparaît</t>
  </si>
  <si>
    <t xml:space="preserve">plotting/monitor.py (can_hide), gui/analysis_tab.py</t>
  </si>
  <si>
    <t xml:space="preserve">test_package_report.test_monitor_hiding_rules
test_gui.test_monitor_hide_rules</t>
  </si>
  <si>
    <t xml:space="preserve">REQ_COMMON_KH_4104</t>
  </si>
  <si>
    <t xml:space="preserve">The Time Base Monitor shall be automatically present into all reports. If removed for arrangement and indication shall appear to confirm the good construction or Time Base.</t>
  </si>
  <si>
    <t xml:space="preserve">Présent dans tous les rapports ; sinon indication de bonne construction</t>
  </si>
  <si>
    <t xml:space="preserve">TBM sur chaque page ; s'il a été masqué, encadré « construction de la base de temps vérifiée : CONFORME »</t>
  </si>
  <si>
    <t xml:space="preserve">plotting/renderer.py, plotting/monitor.py (confirmation_text)</t>
  </si>
  <si>
    <t xml:space="preserve">test_package_report.test_report_note_when_monitor_hidden</t>
  </si>
  <si>
    <t xml:space="preserve">REQ_COMMON_KH_4105</t>
  </si>
  <si>
    <t xml:space="preserve">In case of disturbance in the time base analysis, the treatment can’t be locked or unstable.</t>
  </si>
  <si>
    <t xml:space="preserve">Traitement jamais bloqué ni instable</t>
  </si>
  <si>
    <t xml:space="preserve">Lecture par blocs, annulable, en arrière-plan ; lignes ordinaires découpées d'un coup et colonnes converties en entier (core/vector_parse.py), lignes et cellules particulières traitées une à une avec les mêmes règles (résultats identiques) ; une ligne malade (guillemet non fermé, octets nuls, cellule démesurée) n'atteint jamais la suite ; une erreur imprévue sur un fichier le marque en erreur sans arrêter les autres ; analyse vectorisée O(n) (changements de fréquence et croix des cellules vides compris), événements plafonnés ; curseurs redessinés seuls (blitting), abscisses et nuage X/Y en cache ; axe en défaut remplacé par un message ; banc de 130 fichiers pathologiques et 40 corruptions aléatoires sans exception ; banc de mesure tools/banc_performance.py</t>
  </si>
  <si>
    <t xml:space="preserve">gui/tasks.py, core/csv_reader.py, core/vector_parse.py, core/data_package.py (load_source), core/time_base.py, core/sampling.py, plotting/renderer.py, gui/analysis_tab.py</t>
  </si>
  <si>
    <t xml:space="preserve">test_robustesse (31 cas dont test_random_corruptions_never_raise
test_unexpected_error_is_isolated_to_its_file
test_block_boundaries_never_change_the_result)
test_time_base.test_pathological_inputs_never_raise
test_large_series_speed
test_many_frequency_changes_stay_linear
test_csv_reader.test_cancellation
test_mixed_columns_converted_like_cell_by_cell
test_analysis_tools.test_missing_markers_many_runs_stay_fast
test_xy_cloud_is_cached_until_data_change
test_gui.test_tracking_mode</t>
  </si>
  <si>
    <t xml:space="preserve">Implémenté — qualification sur volumes réels à faire</t>
  </si>
  <si>
    <t xml:space="preserve">n° 16</t>
  </si>
  <si>
    <t xml:space="preserve">REQ_COMMON_KH_4106</t>
  </si>
  <si>
    <t xml:space="preserve">In case of disturbance in the time base analysis, the user can specify the normal raster with an associated diagnosis</t>
  </si>
  <si>
    <t xml:space="preserve">L'utilisateur peut spécifier le raster normal avec un diagnostic associé</t>
  </si>
  <si>
    <t xml:space="preserve">Période nominale + tolérance + diagnostic opérateur (imprimé dans le TBM et le rapport)</t>
  </si>
  <si>
    <t xml:space="preserve">gui/dialogs/time_base_dialog.py, core/data_package.py (configure_time)</t>
  </si>
  <si>
    <t xml:space="preserve">test_time_base.test_user_nominal_period
test_package_report.test_project_roundtrip_with_relative_paths</t>
  </si>
  <si>
    <t xml:space="preserve">REQ_COMMON_KH_4107</t>
  </si>
  <si>
    <t xml:space="preserve">Constitute Absolute timestamp. Clock Jitter ignored</t>
  </si>
  <si>
    <t xml:space="preserve">Horodatage absolu ; jitter d'horloge ignoré</t>
  </si>
  <si>
    <t xml:space="preserve">Origine absolue (hh:mm:ss, date-heure ou saisie) et axe absolu ; le jitter dans la tolérance n'est pas une anomalie ; affichage de l'horodatage BRUT par défaut, régularisation sur le raster en option par fichier (indiquée dans le TBM)</t>
  </si>
  <si>
    <t xml:space="preserve">core/time_parser.py, core/time_base.py (_regularize), core/data_package.py (Timeline)</t>
  </si>
  <si>
    <t xml:space="preserve">test_time_base.test_jitter_ignored_within_tolerance
test_robustesse.test_raw_timestamps_are_displayed_by_default
test_package_report.test_absolute_timeline_aligns_plcs
test_gui.test_absolute_time_mode</t>
  </si>
  <si>
    <t xml:space="preserve">Implémenté — interprétation à valider (affichage brut par défaut)</t>
  </si>
  <si>
    <t xml:space="preserve">n° 7, n° 8</t>
  </si>
  <si>
    <t xml:space="preserve">REQ_COMMON_KH_5100</t>
  </si>
  <si>
    <t xml:space="preserve">Top bar with main menu path</t>
  </si>
  <si>
    <t xml:space="preserve">Barre supérieure avec menu principal et chemin</t>
  </si>
  <si>
    <t xml:space="preserve">Menus Fichier / Affichage / Base de temps / Outils / Rapport / Information + barre de chemin « paquet &gt; fichier &gt; variable »</t>
  </si>
  <si>
    <t xml:space="preserve">gui/menu_bar.py, gui/path_bar.py</t>
  </si>
  <si>
    <t xml:space="preserve">test_gui.test_main_window_layout</t>
  </si>
  <si>
    <t xml:space="preserve">REQ_COMMON_KH_5101</t>
  </si>
  <si>
    <t xml:space="preserve">Specific ‘Information’ section including:Tool versionHistory of changesSourcesHelp file</t>
  </si>
  <si>
    <t xml:space="preserve">Section Information : version, historique, sources, aide</t>
  </si>
  <si>
    <t xml:space="preserve">Menu Information : version, CHANGELOG, sources (empreintes du code, bibliothèques, fichiers), aide, journal, traçabilité</t>
  </si>
  <si>
    <t xml:space="preserve">gui/info_windows.py</t>
  </si>
  <si>
    <t xml:space="preserve">test_gui.test_information_windows_and_tree_toggle</t>
  </si>
  <si>
    <t xml:space="preserve">REQ_COMMON_KH_5102</t>
  </si>
  <si>
    <t xml:space="preserve">Bottom bar summarizing:UserDateActivity logTool version</t>
  </si>
  <si>
    <t xml:space="preserve">Barre inférieure : utilisateur, date, journal, version</t>
  </si>
  <si>
    <t xml:space="preserve">Barre d'état avec horloge, dernier message (clic = journal complet), version, avancement</t>
  </si>
  <si>
    <t xml:space="preserve">gui/status_bar.py, system/activity_log.py</t>
  </si>
  <si>
    <t xml:space="preserve">REQ_COMMON_KH_5103</t>
  </si>
  <si>
    <t xml:space="preserve">Left area will contain the data tree viewer</t>
  </si>
  <si>
    <t xml:space="preserve">Zone gauche = arbre des données</t>
  </si>
  <si>
    <t xml:space="preserve">Arbre à gauche</t>
  </si>
  <si>
    <t xml:space="preserve">MAIN.py, gui/tree_panel.py</t>
  </si>
  <si>
    <t xml:space="preserve">REQ_COMMON_KH_5104</t>
  </si>
  <si>
    <t xml:space="preserve">Right area will be the main and wider section devoted to graphical analysis.</t>
  </si>
  <si>
    <t xml:space="preserve">Zone droite principale et plus large</t>
  </si>
  <si>
    <t xml:space="preserve">Zone graphique à droite, seule à s'étirer</t>
  </si>
  <si>
    <t xml:space="preserve">MAIN.py, gui/graph_area.py</t>
  </si>
  <si>
    <t xml:space="preserve">REQ_COMMON_KH_5105</t>
  </si>
  <si>
    <t xml:space="preserve">Tree area can be hidden</t>
  </si>
  <si>
    <t xml:space="preserve">Arbre masquable</t>
  </si>
  <si>
    <t xml:space="preserve">Bouton « Masquer », barre d'accès rapide, menu Affichage, F9</t>
  </si>
  <si>
    <t xml:space="preserve">gui/app.py (toggle_tree)</t>
  </si>
  <si>
    <t xml:space="preserve">REQ_COMMON_KH_5106</t>
  </si>
  <si>
    <t xml:space="preserve">Graphical area can manage several tab to hold different arrangements</t>
  </si>
  <si>
    <t xml:space="preserve">Plusieurs onglets pour différentes dispositions</t>
  </si>
  <si>
    <t xml:space="preserve">Onglets créés depuis un modèle, renommables, fermables</t>
  </si>
  <si>
    <t xml:space="preserve">gui/graph_area.py</t>
  </si>
  <si>
    <t xml:space="preserve">test_gui.test_xy_tab_and_point_pick</t>
  </si>
  <si>
    <t xml:space="preserve">REQ_COMMON_KH_5200</t>
  </si>
  <si>
    <t xml:space="preserve">Top Tree level correspond to the data package</t>
  </si>
  <si>
    <t xml:space="preserve">Niveau supérieur = paquet de données</t>
  </si>
  <si>
    <t xml:space="preserve">Paquets au 1er niveau ; le paquet actif est marqué</t>
  </si>
  <si>
    <t xml:space="preserve">gui/tree_panel.py</t>
  </si>
  <si>
    <t xml:space="preserve">test_gui.test_tree_levels_and_types</t>
  </si>
  <si>
    <t xml:space="preserve">REQ_COMMON_KH_5201</t>
  </si>
  <si>
    <t xml:space="preserve">First Child level will be devoted to the csv file… from one source or several.</t>
  </si>
  <si>
    <t xml:space="preserve">1er niveau enfant = fichiers CSV</t>
  </si>
  <si>
    <t xml:space="preserve">Fichiers avec icône de statut</t>
  </si>
  <si>
    <t xml:space="preserve">REQ_COMMON_KH_5202</t>
  </si>
  <si>
    <t xml:space="preserve">Into each csv file, the tree shall detail all the variables contained with associated type Bool or Float.</t>
  </si>
  <si>
    <t xml:space="preserve">Toutes les variables avec type Bool ou Float</t>
  </si>
  <si>
    <t xml:space="preserve">Variables avec type (forçable par clic droit) ; Texte pour les états énumérés</t>
  </si>
  <si>
    <t xml:space="preserve">gui/tree_panel.py, core/signals.py</t>
  </si>
  <si>
    <t xml:space="preserve">test_gui.test_tree_levels_and_types
test_package_report.test_type_override_and_report_text</t>
  </si>
  <si>
    <t xml:space="preserve">Implémenté — interprétation à valider (règle de typage, colonne constante)</t>
  </si>
  <si>
    <t xml:space="preserve">n° 6</t>
  </si>
  <si>
    <t xml:space="preserve">REQ_COMMON_KH_5203</t>
  </si>
  <si>
    <t xml:space="preserve">Into each csv file, the tree shall detail the dedicated time base</t>
  </si>
  <si>
    <t xml:space="preserve">Base de temps dédiée de chaque fichier</t>
  </si>
  <si>
    <t xml:space="preserve">Nœud « Base de temps » (format, période, statut)</t>
  </si>
  <si>
    <t xml:space="preserve">REQ_COMMON_KH_5300</t>
  </si>
  <si>
    <t xml:space="preserve">Several templates shall be proposed including different arrangement of Axle</t>
  </si>
  <si>
    <t xml:space="preserve">Plusieurs modèles de disposition d'axes</t>
  </si>
  <si>
    <t xml:space="preserve">7 modèles : 1, 2, 3, 4 axes, analogique + logique, grille 2 × 2, temporel + X/Y</t>
  </si>
  <si>
    <t xml:space="preserve">core/arrangement.py</t>
  </si>
  <si>
    <t xml:space="preserve">test_architecture.test_templates_fit_their_grid
test_package_report.test_every_template_has_time_base_monitor</t>
  </si>
  <si>
    <t xml:space="preserve">REQ_COMMON_KH_5400</t>
  </si>
  <si>
    <t xml:space="preserve">Vertical single Cursor: can be activated by axle</t>
  </si>
  <si>
    <t xml:space="preserve">Curseur vertical simple activable par axe</t>
  </si>
  <si>
    <t xml:space="preserve">Mode de curseur propre à chaque axe (axe actif)</t>
  </si>
  <si>
    <t xml:space="preserve">gui/analysis_tab.py, core/arrangement.py</t>
  </si>
  <si>
    <t xml:space="preserve">test_gui.test_curves_cursors_mouse_and_keyboard</t>
  </si>
  <si>
    <t xml:space="preserve">REQ_COMMON_KH_5401</t>
  </si>
  <si>
    <t xml:space="preserve">Vertical single Cursor: hold time stamp value and cross value of selected curve</t>
  </si>
  <si>
    <t xml:space="preserve">Porte l'instant et la valeur de la courbe sélectionnée</t>
  </si>
  <si>
    <t xml:space="preserve">Étiquette : instant + valeur de l'échantillon réel de la courbe sélectionnée, point marqué</t>
  </si>
  <si>
    <t xml:space="preserve">plotting/renderer.py, core/sampling.py</t>
  </si>
  <si>
    <t xml:space="preserve">test_package_report.test_cursor_labels_show_time_and_value
test_analysis_tools.test_nearest_and_hold_without_interpolation</t>
  </si>
  <si>
    <t xml:space="preserve">Implémenté — interprétation à valider (état maintenu des Bool)</t>
  </si>
  <si>
    <t xml:space="preserve">n° 13</t>
  </si>
  <si>
    <t xml:space="preserve">REQ_COMMON_KH_5402</t>
  </si>
  <si>
    <t xml:space="preserve">Vertical single Cursor: tracking reading mode adding the list of crossed value from all the axle’s curves into a right popup</t>
  </si>
  <si>
    <t xml:space="preserve">Mode suivi + liste des valeurs de toutes les courbes de l'axe dans une fenêtre à droite</t>
  </si>
  <si>
    <t xml:space="preserve">« Suivi souris » + panneau de lecture à droite (toutes les courbes, instant, ligne CSV)</t>
  </si>
  <si>
    <t xml:space="preserve">gui/analysis_tab.py, gui/reading_panel.py, core/readings.py</t>
  </si>
  <si>
    <t xml:space="preserve">test_gui.test_tracking_mode</t>
  </si>
  <si>
    <t xml:space="preserve">REQ_COMMON_KH_5403</t>
  </si>
  <si>
    <t xml:space="preserve">Double Vertical Cursor: Time stamp is mandatory and automated for each cursor</t>
  </si>
  <si>
    <t xml:space="preserve">Double curseur : instant obligatoire et automatique pour chaque curseur</t>
  </si>
  <si>
    <t xml:space="preserve">C1 et C2 posés d'office, instants affichés, Δt et 1/Δt, ΔV</t>
  </si>
  <si>
    <t xml:space="preserve">gui/analysis_tab.py, plotting/renderer.py</t>
  </si>
  <si>
    <t xml:space="preserve">test_package_report.test_cursor_labels_show_time_and_value
test_gui.test_curves_cursors_mouse_and_keyboard</t>
  </si>
  <si>
    <t xml:space="preserve">REQ_COMMON_KH_5404</t>
  </si>
  <si>
    <t xml:space="preserve">(identique à 5403)</t>
  </si>
  <si>
    <t xml:space="preserve">Couvert par la même réalisation : C1 et C2 posés d'office avec leurs instants, Δt, 1/Δt et ΔV</t>
  </si>
  <si>
    <t xml:space="preserve">gui/analysis_tab.py, plotting/renderer.py, core/readings.py</t>
  </si>
  <si>
    <t xml:space="preserve">Implémenté — interprétation à valider (énoncé dupliqué)</t>
  </si>
  <si>
    <t xml:space="preserve">n° 11</t>
  </si>
  <si>
    <t xml:space="preserve">REQ_COMMON_KH_5405</t>
  </si>
  <si>
    <t xml:space="preserve">Global cursor = global synchronization of axles. Cursor appear over all axles and moving in same time</t>
  </si>
  <si>
    <t xml:space="preserve">Curseur global synchronisant tous les axes</t>
  </si>
  <si>
    <t xml:space="preserve">Ligne sur tous les axes (TBM compris), déplacée ensemble ; zoom commun (axe X partagé)</t>
  </si>
  <si>
    <t xml:space="preserve">plotting/renderer.py, gui/analysis_tab.py</t>
  </si>
  <si>
    <t xml:space="preserve">REQ_COMMON_KH_5406</t>
  </si>
  <si>
    <t xml:space="preserve">Horizontal cursor: only applicable to analog signals</t>
  </si>
  <si>
    <t xml:space="preserve">Curseur horizontal : signaux analogiques seulement</t>
  </si>
  <si>
    <t xml:space="preserve">Refusé sur courbe Bool/Texte ; niveau, franchissements montants/descendants</t>
  </si>
  <si>
    <t xml:space="preserve">gui/app.py (horizontal_cursor), core/sampling.py (crossings)</t>
  </si>
  <si>
    <t xml:space="preserve">test_gui.test_horizontal_cursor_only_on_float
test_analysis_tools.test_crossings_with_condition</t>
  </si>
  <si>
    <t xml:space="preserve">REQ_COMMON_KH_5407</t>
  </si>
  <si>
    <t xml:space="preserve">Horizontal cursor: can be conditioned by additional bool signal to realize conditional processing.</t>
  </si>
  <si>
    <t xml:space="preserve">Curseur horizontal conditionné par un Bool</t>
  </si>
  <si>
    <t xml:space="preserve">Condition (1 à 3 Bool, ET/OU) ; franchissements retenus sous condition, périodes ombrées</t>
  </si>
  <si>
    <t xml:space="preserve">core/conditional.py, gui/dialogs/analysis_dialogs.py</t>
  </si>
  <si>
    <t xml:space="preserve">test_analysis_tools.test_same_file_condition_uses_same_row
test_other_file_condition_holds_last_state</t>
  </si>
  <si>
    <t xml:space="preserve">n° 12</t>
  </si>
  <si>
    <t xml:space="preserve">REQ_COMMON_KH_5408</t>
  </si>
  <si>
    <t xml:space="preserve">Cursor X/Y: used for correlation control check - Two cursors are activated or the cross point only can be highlighted</t>
  </si>
  <si>
    <t xml:space="preserve">Curseur X/Y : deux curseurs ou point de croisement seul</t>
  </si>
  <si>
    <t xml:space="preserve">Nuage X/Y, corrélation r et régression ; point désigné avec deux curseurs (X et Y) ou point seul ; C1/C2 reportés</t>
  </si>
  <si>
    <t xml:space="preserve">core/xy.py, plotting/renderer.py</t>
  </si>
  <si>
    <t xml:space="preserve">test_analysis_tools.test_xy_same_file_and_cross_file
test_gui.test_xy_tab_and_point_pick</t>
  </si>
  <si>
    <t xml:space="preserve">REQ_COMMON_KH_5500</t>
  </si>
  <si>
    <t xml:space="preserve">(énoncé vide dans la Rev. A)</t>
  </si>
  <si>
    <t xml:space="preserve">*(énoncé vide dans la Rev. A)*</t>
  </si>
  <si>
    <t xml:space="preserve">Proposition : statistiques (durée, min, max, moyenne, écart-type, durée au-dessus d'un seuil) des signaux analogiques pendant qu'une condition Bool est vraie ; export CSV</t>
  </si>
  <si>
    <t xml:space="preserve">test_analysis_tools.test_conditional_statistics</t>
  </si>
  <si>
    <t xml:space="preserve">Proposition — énoncé vide à rédiger</t>
  </si>
  <si>
    <t xml:space="preserve">n° 17</t>
  </si>
  <si>
    <t xml:space="preserve">REQ_COMMON_KH_6000</t>
  </si>
  <si>
    <t xml:space="preserve">The present tool shall be capable to generate a pdf report.</t>
  </si>
  <si>
    <t xml:space="preserve">Générer un rapport PDF</t>
  </si>
  <si>
    <t xml:space="preserve">Matplotlib PdfPages, écriture atomique</t>
  </si>
  <si>
    <t xml:space="preserve">report/pdf_report.py</t>
  </si>
  <si>
    <t xml:space="preserve">test_package_report.test_pdf_automatic_and_step_by_step</t>
  </si>
  <si>
    <t xml:space="preserve">REQ_COMMON_KH_6001</t>
  </si>
  <si>
    <t xml:space="preserve">Report consist into a template containing Header and graphical area</t>
  </si>
  <si>
    <t xml:space="preserve">Modèle avec en-tête et zone graphique</t>
  </si>
  <si>
    <t xml:space="preserve">En-tête + zone graphique (même rendu qu'à l'écran) + tableau des lectures</t>
  </si>
  <si>
    <t xml:space="preserve">REQ_COMMON_KH_6002</t>
  </si>
  <si>
    <t xml:space="preserve">Report, can be generated automatically or step by step.</t>
  </si>
  <si>
    <t xml:space="preserve">Automatique ou pas à pas</t>
  </si>
  <si>
    <t xml:space="preserve">Menu Rapport : automatique / pas à pas</t>
  </si>
  <si>
    <t xml:space="preserve">gui/app.py</t>
  </si>
  <si>
    <t xml:space="preserve">test_gui.test_reports_and_project</t>
  </si>
  <si>
    <t xml:space="preserve">REQ_COMMON_KH_6003</t>
  </si>
  <si>
    <t xml:space="preserve">Automatic Report consist into a single edition of active graphical area to pdf file</t>
  </si>
  <si>
    <t xml:space="preserve">Automatique = édition unique de l'onglet actif</t>
  </si>
  <si>
    <t xml:space="preserve">Une page de l'onglet actif + traçabilité</t>
  </si>
  <si>
    <t xml:space="preserve">gui/app.py (automatic_report)</t>
  </si>
  <si>
    <t xml:space="preserve">REQ_COMMON_KH_6004</t>
  </si>
  <si>
    <t xml:space="preserve">Manual step by step report generation consist into a sequential generation on order depending of graphical active tab. Permitting to push global view, and customize analysis, cursor, X/Y cloud…</t>
  </si>
  <si>
    <t xml:space="preserve">Pas à pas = génération séquentielle selon l'onglet actif (vue globale, analyse, curseurs, nuage X/Y…)</t>
  </si>
  <si>
    <t xml:space="preserve">Captures figées successives (zoom, curseurs, X/Y, condition, commentaire), ordonnables</t>
  </si>
  <si>
    <t xml:space="preserve">gui/app.py (add_report_page), gui/dialogs/report_dialogs.py (PagesWindow)</t>
  </si>
  <si>
    <t xml:space="preserve">REQ_COMMON_KH_6005</t>
  </si>
  <si>
    <t xml:space="preserve">Header shall contain following details:Tool VersionIssuerDateSource File(s)Project Name &amp; UnitProject file reference or Hash</t>
  </si>
  <si>
    <t xml:space="preserve">En-tête : version, émetteur, date, fichiers sources, projet et unité, référence ou empreinte du projet</t>
  </si>
  <si>
    <t xml:space="preserve">Tous ces champs ; SHA-256 des sources et du fichier projet ; annexe de traçabilité</t>
  </si>
  <si>
    <t xml:space="preserve">report/pdf_report.py (build_header)</t>
  </si>
  <si>
    <t xml:space="preserve">Implémenté — interprétation à valider (fichier projet .ptbg.json)</t>
  </si>
  <si>
    <t xml:space="preserve">n° 15</t>
  </si>
  <si>
    <t xml:space="preserve">Auteur</t>
  </si>
  <si>
    <t xml:space="preserve">Commentaire (Word)</t>
  </si>
  <si>
    <t xml:space="preserve">Réponse apportée</t>
  </si>
  <si>
    <t xml:space="preserve">Où (programme / document)</t>
  </si>
  <si>
    <t xml:space="preserve">Vérification</t>
  </si>
  <si>
    <t xml:space="preserve">Point ouvert</t>
  </si>
  <si>
    <t xml:space="preserve">Sébastien Kubasik</t>
  </si>
  <si>
    <t xml:space="preserve">Attention au pretrig! Est ce que temps négatif / reference absolue comme en Alspa???</t>
  </si>
  <si>
    <t xml:space="preserve">Pré-déclenchement géré : un compteur peut être négatif, t = 0 est l'instant de déclenchement, trait pointillé « déclenchement (t = 0) » sur les axes ; l'origine absolue saisie (Base de temps &gt; Configurer) est la date-heure du déclenchement, ce qui donne l'axe absolu « comme en ALSPA ». Nombre d'échantillons de pré-déclenchement signalé (information).</t>
  </si>
  <si>
    <t xml:space="preserve">core/time_parser.py (TimeBaseSettings, _convert_counter) ; plotting/renderer.py (_draw_time_axle) ; gui/dialogs/time_base_dialog.py</t>
  </si>
  <si>
    <t xml:space="preserve">test_time_parser.test_counter_with_assumed_unit_and_pretrig ; test_counter_with_absolute_origin</t>
  </si>
  <si>
    <t xml:space="preserve">Ou Windows!? Besoin de déterminer la cible ou double compatibilité</t>
  </si>
  <si>
    <t xml:space="preserve">Double compatibilité retenue (décision du demandeur) : Windows 11 64 bits sous Spyder 6 ET SLES 15 SP7. Un seul code ; toutes les différences d'OS isolées dans ptbg/system/compat.py ; scripts d'installation et de lancement pour les deux systèmes ; wheels vérifiées win_amd64 et manylinux (glibc 2.38 de SP7).</t>
  </si>
  <si>
    <t xml:space="preserve">ptbg/system/compat.py ; install/ ; docs/COMPATIBILITE_OS.md</t>
  </si>
  <si>
    <t xml:space="preserve">test_architecture.test_os_specific_code_is_centralized ; campagne 7 combinaisons (Tk 8.6 et 9)</t>
  </si>
  <si>
    <t xml:space="preserve">Qualification sur cible à faire</t>
  </si>
  <si>
    <t xml:space="preserve">Ces versions évolueront forcément, c’est ici le point de départ observé avec le package TDS V1.1.0. Semble possible de disposer d’un upgrade Python3.11 pour SLES 15</t>
  </si>
  <si>
    <t xml:space="preserve">Python 3.6 lu comme un minimum : référence Python 3.11 (upgrade possible sur SLES 15, comme indiqué), code vérifié de 3.10 à 3.14. Python 3.6 (fin de vie 2021) imposerait numpy 1.19 / matplotlib 3.3 : non retenu. Version minimale contrôlée au lancement par MAIN.py.</t>
  </si>
  <si>
    <t xml:space="preserve">ptbg/version.py (MIN_PYTHON) ; MAIN.py</t>
  </si>
  <si>
    <t xml:space="preserve">test_architecture.test_minimal_python_syntax ; campagne Python 3.10 → 3.14</t>
  </si>
  <si>
    <t xml:space="preserve">Il y a des packages transverses toute version et d’autre plus restrictifs avec independances. Le plus fréquemment il y a une sensibilité à la version de python, l’OS, et le cœur 32 ou 63 bits</t>
  </si>
  <si>
    <t xml:space="preserve">Sensibilités relevées par Sébastien traitées : versions figées dans requirements.txt (identiques Python 3.11 à 3.14, Windows et SLES) ; DEPENDANCES.md donne pour chaque paquet la version, le type (direct / transitif), les Python supportés, les wheels win_amd64 / manylinux, la licence, et distingue les composants compilés (sensibles à Python, à l'OS et au 32/64 bits : numpy, matplotlib, contourpy, kiwisolver, pillow) du Python pur. Cible 64 bits uniquement. Relevé des versions au démarrage et outil d'audit.</t>
  </si>
  <si>
    <t xml:space="preserve">requirements.txt ; docs/DEPENDANCES.md ; ptbg/system/environment.py ; tools/audit_environnement.py</t>
  </si>
  <si>
    <t xml:space="preserve">—</t>
  </si>
  <si>
    <t xml:space="preserve">N°</t>
  </si>
  <si>
    <t xml:space="preserve">Requis concerné(s)</t>
  </si>
  <si>
    <t xml:space="preserve">Question posée</t>
  </si>
  <si>
    <t xml:space="preserve">Interprétation retenue (à valider par Sébastien)</t>
  </si>
  <si>
    <t xml:space="preserve">Où la modifier</t>
  </si>
  <si>
    <t xml:space="preserve">Réponse de Sébastien</t>
  </si>
  <si>
    <t xml:space="preserve">REQ_COMMON_KH_2305 (commentaire « attention au pretrig ! temps négatif / référence absolue comme en ALSPA ? »)</t>
  </si>
  <si>
    <t xml:space="preserve">Comment est représenté le pré-déclenchement ?</t>
  </si>
  <si>
    <t xml:space="preserve">Un compteur peut être négatif ; t = 0 est l'instant de déclenchement ; l'origine absolue saisie est la date-heure de ce déclenchement. Les temps négatifs sont conservés et une ligne « déclenchement (t = 0) » est tracée.</t>
  </si>
  <si>
    <t xml:space="preserve">core/time_parser.py, plotting/renderer.py</t>
  </si>
  <si>
    <t xml:space="preserve">REQ_COMMON_KH_2310 « Maximal size xxxMo »</t>
  </si>
  <si>
    <t xml:space="preserve">Quelle taille maximale ?</t>
  </si>
  <si>
    <t xml:space="preserve">Paramètre max_file_size_mb, défaut **500 Mo** (≈ 0,5 à 1 Go de mémoire), modifiable dans Outils &gt; Préférences.</t>
  </si>
  <si>
    <t xml:space="preserve">config.py</t>
  </si>
  <si>
    <t xml:space="preserve">REQ_COMMON_KH_3001 « Python 3.6 at least » (commentaire : upgrade Python 3.11 possible sur SLES 15)</t>
  </si>
  <si>
    <t xml:space="preserve">3.6 est-il un minimum ou une cible stricte ?</t>
  </si>
  <si>
    <t xml:space="preserve">Lu comme un minimum : développement en **3.11**, code vérifié de 3.10 à 3.14. Python 3.6 (fin de vie 2021) n'est pas supporté : il imposerait numpy 1.19 / matplotlib 3.3.</t>
  </si>
  <si>
    <t xml:space="preserve">REQ_COMMON_KH_3000 (commentaire « ou Windows ? double compatibilité »)</t>
  </si>
  <si>
    <t xml:space="preserve">Quelle cible ?</t>
  </si>
  <si>
    <t xml:space="preserve">**Double compatibilité** Windows 11 64 bits (Spyder 6) et SLES 15 SP7, confirmée par le demandeur.</t>
  </si>
  <si>
    <t xml:space="preserve">REQ_COMMON_KH_2201 (2e occurrence) « Binary group signal » — identifiant dupliqué</t>
  </si>
  <si>
    <t xml:space="preserve">Qu'est-ce qu'un groupe binaire dans les CSV PTBG ? Faut-il renuméroter l'exigence ?</t>
  </si>
  <si>
    <t xml:space="preserve">Ensemble ordonné de colonnes Bool (bit 0 = 1er membre) : détecté automatiquement pour NOM[i] / NOM.i, ou créé par l'utilisateur ; affiché en pistes regroupées, lu comme mot binaire. Un mot entier codant des bits n'est pas décodé.</t>
  </si>
  <si>
    <t xml:space="preserve">core/signals.py (BinaryGroup, detect_indexed_groups)</t>
  </si>
  <si>
    <t xml:space="preserve">REQ_COMMON_KH_5202 « type Bool or Float »</t>
  </si>
  <si>
    <t xml:space="preserve">Existe-t-il une convention de typage dans les CSV ?</t>
  </si>
  <si>
    <t xml:space="preserve">Règle automatique : true/false, ou nombres 0/1 avec au moins un 0 et un 1 → Bool ; sinon Float. Une colonne constante reste Float. Colonnes d'états texte (« STOP », « ACTIVE », vus dans les CSV de simulation) → type Texte, hors spécification. Type forçable par variable.</t>
  </si>
  <si>
    <t xml:space="preserve">core/signals.py (auto_type)</t>
  </si>
  <si>
    <t xml:space="preserve">REQ_COMMON_KH_4107 « Constitute absolute timestamp. Clock jitter ignored »</t>
  </si>
  <si>
    <t xml:space="preserve">Que signifie « jitter ignoré » ?</t>
  </si>
  <si>
    <t xml:space="preserve">Le jitter dans la tolérance **n'est pas une anomalie** (il est mesuré et affiché, pas compté comme défaut). L'axe des temps affiche par défaut l'**horodatage brut** du fichier : rien n'est recalé en silence. En option, par fichier, un affichage **régularisé** (droite t = a + T·k ajustée par blocs alignés, trous conservés, aucune mesure créée), toujours indiqué dans le TBM et le rapport.</t>
  </si>
  <si>
    <t xml:space="preserve">core/time_base.py (_regularize), dialogue Base de temps</t>
  </si>
  <si>
    <t xml:space="preserve">REQ_COMMON_KH_4107 / 2102</t>
  </si>
  <si>
    <t xml:space="preserve">D'où vient l'origine absolue d'un compteur ?</t>
  </si>
  <si>
    <t xml:space="preserve">Horodatage hh:mm:ss (date saisissable) ou date-heure : absolu d'office. Compteur : origine saisie par l'utilisateur. L'axe absolu n'est proposé que si chaque fichier a une origine. Aucun recalage automatique entre PLC : décalage manuel explicite, affiché dans le TBM.</t>
  </si>
  <si>
    <t xml:space="preserve">core/data_package.py (Timeline)</t>
  </si>
  <si>
    <t xml:space="preserve">REQ_COMMON_KH_4100 / 4106 — tolérance</t>
  </si>
  <si>
    <t xml:space="preserve">Quelle tolérance par défaut sur la période ? Combien d'intervalles pour un changement de fréquence ?</t>
  </si>
  <si>
    <t xml:space="preserve">Valeurs **arbitraires, non fournies par les requis** : 10 % de la période et 10 intervalles consécutifs cohérents hors raster. Ce sont des réglages utilisateur (Outils &gt; Préférences, et tolérance par fichier dans Base de temps), affichés dans le TBM.</t>
  </si>
  <si>
    <t xml:space="preserve">REQ_COMMON_KH_2307 — unité du compteur</t>
  </si>
  <si>
    <t xml:space="preserve">Unité d'un compteur sans unité (colonne « index » des CSV fournis, pas de 20) ?</t>
  </si>
  <si>
    <t xml:space="preserve">Lue dans l'en-tête (t_ms, Temps (s), time[us]…). Sinon l'unité de la préférence (ms) est **SUPPOSÉE** et signalée en **avertissement** : « unité SUPPOSÉE, à confirmer » dans le TBM et le rapport, TBM non masquable, jusqu'à ce que l'opérateur choisisse l'unité (Base de temps &gt; Configurer, applicable d'un coup à tous les fichiers concernés). Alternative possible si demandée : axe en « unités de compteur » sans conversion.</t>
  </si>
  <si>
    <t xml:space="preserve">core/time_parser.py, config.py</t>
  </si>
  <si>
    <t xml:space="preserve">REQ_COMMON_KH_5404 (énoncé identique à 5403)</t>
  </si>
  <si>
    <t xml:space="preserve">Exigence différente attendue (Δt, écart de valeurs ?)</t>
  </si>
  <si>
    <t xml:space="preserve">Couvert par la même réalisation : C1 et C2 posés d'office avec leurs instants, plus Δt, 1/Δt et ΔV par courbe.</t>
  </si>
  <si>
    <t xml:space="preserve">plotting/renderer.py, core/readings.py</t>
  </si>
  <si>
    <t xml:space="preserve">REQ_COMMON_KH_5407 / 5500 (énoncé 5500 **vide**)</t>
  </si>
  <si>
    <t xml:space="preserve">Quel traitement conditionnel est attendu ?</t>
  </si>
  <si>
    <t xml:space="preserve">Curseur horizontal : franchissements retenus seulement si la condition Bool est vraie (même ligne pour le même fichier ; dernier état connu pour un autre fichier). Section 4.5 : statistiques sous condition (durée, min, max, moyenne, écart-type, durée au-dessus d'un seuil).</t>
  </si>
  <si>
    <t xml:space="preserve">core/conditional.py</t>
  </si>
  <si>
    <t xml:space="preserve">REQ_COMMON_KH_5401 « cross value »</t>
  </si>
  <si>
    <t xml:space="preserve">Valeur interpolée ou échantillon ?</t>
  </si>
  <si>
    <t xml:space="preserve">**Échantillon réel**, jamais interpolé : le plus proche pour un Float ; pour un Bool, **règle métier ajoutée** : l'état maintenu (échantillon précédent), cohérente avec le tracé en escalier ; instant et ligne CSV de l'échantillon affichés.</t>
  </si>
  <si>
    <t xml:space="preserve">core/sampling.py</t>
  </si>
  <si>
    <t xml:space="preserve">REQ_COMMON_KH_2301 / 2302 / 2303</t>
  </si>
  <si>
    <t xml:space="preserve">Faut-il refuser ou tolérer un fichier non conforme ?</t>
  </si>
  <si>
    <t xml:space="preserve">Séparateur ≠ virgule : fichier **refusé** avec diagnostic (les autres restent chargés). Encodage ≠ UTF-8 (fichier Windows-1252, UTF-16, octet corrompu) : fichier **lu** mais marqué en **ERREUR** avec la 1re ligne fautive, pour ne pas perdre les mesures. Métadonnées, lignes « # », lignes mal formées : **tolérées, signalées et listées**.</t>
  </si>
  <si>
    <t xml:space="preserve">REQ_COMMON_KH_6005 « Project Name &amp; Unit », « Project file reference or Hash »</t>
  </si>
  <si>
    <t xml:space="preserve">Origine de ces champs ? Le fichier projet est-il prévu ?</t>
  </si>
  <si>
    <t xml:space="preserve">Saisis dans Rapport &gt; En-tête ; référence = texte libre + nom du fichier projet ; empreinte = SHA-256 du fichier projet enregistré ; SHA-256 de chaque CSV source. Le **fichier projet .ptbg.json est une proposition** (non décrit dans la spécification).</t>
  </si>
  <si>
    <t xml:space="preserve">report/pdf_report.py, core/project.py</t>
  </si>
  <si>
    <t xml:space="preserve">REQ_COMMON_KH_4105 / 2301 / 2308 — fichiers abîmés</t>
  </si>
  <si>
    <t xml:space="preserve">Que faire d'une ligne incomplète, d'un en-tête absent ou répété, d'un horodatage aberrant ?</t>
  </si>
  <si>
    <t xml:space="preserve">Une ligne au mauvais nombre de champs est **rejetée et listée** (jamais complétée : sa dernière valeur pourrait être tronquée). Sans en-tête, la 1re ligne de mesures est gardée (colonnes Colonne_1…). Un en-tête répété (fichiers concaténés) est ignoré. Un horodatage isolé à plus de **10 périodes** de ses deux voisins (qui se suivent normalement) est déclaré **aberrant** : ERREUR, exclu du raster et des courbes, au lieu d'un faux retour arrière suivi d'un faux trou. Valeur de 10 périodes arbitraire. Pour une heure hh:mm:ss, une valeur isolée à plus de 12 h de ses voisins, vers l'arrière **ou vers l'avant** (2.2.0), n'est jamais comptée comme un passage de minuit.</t>
  </si>
  <si>
    <t xml:space="preserve">core/csv_reader.py, core/time_base.py (OUTLIER_JUMP), core/time_parser.py (_day_offsets)</t>
  </si>
  <si>
    <t xml:space="preserve">REQ_COMMON_KH_5500 (énoncé **vide**)</t>
  </si>
  <si>
    <t xml:space="preserve">Le requis peut-il être déclaré satisfait ?</t>
  </si>
  <si>
    <t xml:space="preserve">**Non** : la fonction de statistiques conditionnelles (n° 12) est une proposition ; le requis reste à rédiger.</t>
  </si>
  <si>
    <t xml:space="preserve">Fichier</t>
  </si>
  <si>
    <t xml:space="preserve">Couche</t>
  </si>
  <si>
    <t xml:space="preserve">Rôle (docstring du module)</t>
  </si>
  <si>
    <t xml:space="preserve">Lignes de code</t>
  </si>
  <si>
    <t xml:space="preserve">Fonctions / classes</t>
  </si>
  <si>
    <t xml:space="preserve">Requis cités dans le code</t>
  </si>
  <si>
    <t xml:space="preserve">ptbg/config.py</t>
  </si>
  <si>
    <t xml:space="preserve">ptbg</t>
  </si>
  <si>
    <t xml:space="preserve">Préférences de l'outil, modifiables par Outils &gt; Préférences.</t>
  </si>
  <si>
    <t xml:space="preserve">2100, 2300, 2310, 4100, 4107, 6005</t>
  </si>
  <si>
    <t xml:space="preserve">ptbg/core/arrangement.py</t>
  </si>
  <si>
    <t xml:space="preserve">core</t>
  </si>
  <si>
    <t xml:space="preserve">Modèles de disposition (templates) et état d'un onglet graphique.</t>
  </si>
  <si>
    <t xml:space="preserve">4102, 4103, 5106, 5300, 5400, 5401, 5402, 5405, 5406, 5407, 5408, 6004</t>
  </si>
  <si>
    <t xml:space="preserve">ptbg/core/conditional.py</t>
  </si>
  <si>
    <t xml:space="preserve">Traitement conditionnel par signaux Bool (REQ_COMMON_KH_5407 et section 4.5).</t>
  </si>
  <si>
    <t xml:space="preserve">5407, 5500</t>
  </si>
  <si>
    <t xml:space="preserve">ptbg/core/csv_reader.py</t>
  </si>
  <si>
    <t xml:space="preserve">Lecture contrôlée d'un fichier CSV PTBG.</t>
  </si>
  <si>
    <t xml:space="preserve">2300, 2301, 2302, 2303, 2304, 2308, 2309, 2310, 4105, 6005</t>
  </si>
  <si>
    <t xml:space="preserve">ptbg/core/curves.py</t>
  </si>
  <si>
    <t xml:space="preserve">Résolution d'une courbe (``CurveRef``) en données affichables et lisibles.</t>
  </si>
  <si>
    <t xml:space="preserve">2201</t>
  </si>
  <si>
    <t xml:space="preserve">ptbg/core/data_package.py</t>
  </si>
  <si>
    <t xml:space="preserve">Paquets de données, fichiers sources et axe des temps commun.</t>
  </si>
  <si>
    <t xml:space="preserve">2101, 2102, 2310, 4101, 4103, 4105, 4106, 4107, 5200, 5202</t>
  </si>
  <si>
    <t xml:space="preserve">ptbg/core/diagnostic_report.py</t>
  </si>
  <si>
    <t xml:space="preserve">Diagnostic complet d'un fichier, en texte Markdown (fenêtre « Diagnostic »).</t>
  </si>
  <si>
    <t xml:space="preserve">2300, 4100</t>
  </si>
  <si>
    <t xml:space="preserve">ptbg/core/diagnostics.py</t>
  </si>
  <si>
    <t xml:space="preserve">Niveaux de gravité et constats partagés par la lecture et la base de temps.</t>
  </si>
  <si>
    <t xml:space="preserve">2301</t>
  </si>
  <si>
    <t xml:space="preserve">ptbg/core/multi_source.py</t>
  </si>
  <si>
    <t xml:space="preserve">Comparaison des sources d'un système multi-PLC (REQ 2100, 2101, 2102, 2104).</t>
  </si>
  <si>
    <t xml:space="preserve">2100, 2102, 2104</t>
  </si>
  <si>
    <t xml:space="preserve">ptbg/core/project.py</t>
  </si>
  <si>
    <t xml:space="preserve">Fichier projet « .ptbg.json » : sauvegarde et réouverture d'une analyse.</t>
  </si>
  <si>
    <t xml:space="preserve">3005, 6004, 6005</t>
  </si>
  <si>
    <t xml:space="preserve">ptbg/core/readings.py</t>
  </si>
  <si>
    <t xml:space="preserve">Lectures des curseurs, communes au panneau droit et au rapport PDF.</t>
  </si>
  <si>
    <t xml:space="preserve">4105, 5401, 5402, 5403, 5405, 5406, 5408</t>
  </si>
  <si>
    <t xml:space="preserve">ptbg/core/sampling.py</t>
  </si>
  <si>
    <t xml:space="preserve">Lecture des échantillons : curseurs, croisements, réduction d'affichage.</t>
  </si>
  <si>
    <t xml:space="preserve">4105, 5401, 5406, 5407</t>
  </si>
  <si>
    <t xml:space="preserve">ptbg/core/signals.py</t>
  </si>
  <si>
    <t xml:space="preserve">Types de signaux et groupes binaires (section 2.2 « Source' contents »).</t>
  </si>
  <si>
    <t xml:space="preserve">2200, 2201, 5202</t>
  </si>
  <si>
    <t xml:space="preserve">ptbg/core/time_base.py</t>
  </si>
  <si>
    <t xml:space="preserve">Analyse de la base de temps d'un fichier (section 3.1 « Time Base definition »).</t>
  </si>
  <si>
    <t xml:space="preserve">2100, 2104, 4100, 4101, 4105, 4106, 4107</t>
  </si>
  <si>
    <t xml:space="preserve">ptbg/core/time_parser.py</t>
  </si>
  <si>
    <t xml:space="preserve">Conversion de la 1re colonne (base de temps) en secondes.</t>
  </si>
  <si>
    <t xml:space="preserve">2102, 2304, 2305, 2306, 2307, 4105, 4106, 4107</t>
  </si>
  <si>
    <t xml:space="preserve">ptbg/core/vector_parse.py</t>
  </si>
  <si>
    <t xml:space="preserve">Conversions vectorisées de textes en nombres et en horodatages.</t>
  </si>
  <si>
    <t xml:space="preserve">2301, 2306, 4105</t>
  </si>
  <si>
    <t xml:space="preserve">ptbg/core/xy.py</t>
  </si>
  <si>
    <t xml:space="preserve">Nuage X/Y pour le contrôle de corrélation (REQ_COMMON_KH_5408).</t>
  </si>
  <si>
    <t xml:space="preserve">5408</t>
  </si>
  <si>
    <t xml:space="preserve">ptbg/gui/analysis_tab.py</t>
  </si>
  <si>
    <t xml:space="preserve">gui</t>
  </si>
  <si>
    <t xml:space="preserve">Onglet d'analyse graphique : une disposition d'axes et ses outils.</t>
  </si>
  <si>
    <t xml:space="preserve">4103, 4105, 5104, 5400, 5401, 5402, 5403, 5405, 5406, 5408, 6004</t>
  </si>
  <si>
    <t xml:space="preserve">ptbg/gui/app.py</t>
  </si>
  <si>
    <t xml:space="preserve">Contrôleur de l'application : toutes les ACTIONS de l'interface.</t>
  </si>
  <si>
    <t xml:space="preserve">2102, 2105, 2201, 3002, 3003, 4103, 4105, 4106, 4107, 5101, 5102, 5105, 5200, 5202, 5300, 5406, 5407, 5408, 6003, 6004, 6005</t>
  </si>
  <si>
    <t xml:space="preserve">ptbg/gui/dialogs/analysis_dialogs.py</t>
  </si>
  <si>
    <t xml:space="preserve">Dialogues des outils d'analyse.</t>
  </si>
  <si>
    <t xml:space="preserve">2201, 5406, 5407, 5408, 5500</t>
  </si>
  <si>
    <t xml:space="preserve">ptbg/gui/dialogs/report_dialogs.py</t>
  </si>
  <si>
    <t xml:space="preserve">Dialogues du rapport PDF et des préférences.</t>
  </si>
  <si>
    <t xml:space="preserve">2310, 6004, 6005</t>
  </si>
  <si>
    <t xml:space="preserve">ptbg/gui/dialogs/time_base_dialog.py</t>
  </si>
  <si>
    <t xml:space="preserve">Configuration de la base de temps d'un fichier.</t>
  </si>
  <si>
    <t xml:space="preserve">2102, 2304, 2305, 2307, 4106, 4107</t>
  </si>
  <si>
    <t xml:space="preserve">ptbg/gui/graph_area.py</t>
  </si>
  <si>
    <t xml:space="preserve">Zone graphique principale, à droite (REQ_COMMON_KH_5104, 5106).</t>
  </si>
  <si>
    <t xml:space="preserve">5104, 5300</t>
  </si>
  <si>
    <t xml:space="preserve">ptbg/gui/icons.py</t>
  </si>
  <si>
    <t xml:space="preserve">Petites icônes de statut dessinées pixel par pixel (aucun fichier image).</t>
  </si>
  <si>
    <t xml:space="preserve">ptbg/gui/info_windows.py</t>
  </si>
  <si>
    <t xml:space="preserve">Section « Information » (REQ_COMMON_KH_5101) et fenêtres de texte.</t>
  </si>
  <si>
    <t xml:space="preserve">3004, 5101</t>
  </si>
  <si>
    <t xml:space="preserve">ptbg/gui/menu_bar.py</t>
  </si>
  <si>
    <t xml:space="preserve">Barre de menus principale (REQ_COMMON_KH_5100) et section Information (5101).</t>
  </si>
  <si>
    <t xml:space="preserve">2104, 2105, 2201, 3003, 4101, 4103, 4106, 4107, 5100, 5101, 5102, 5105, 5106, 5200, 5406, 6003, 6004, 6005</t>
  </si>
  <si>
    <t xml:space="preserve">ptbg/gui/path_bar.py</t>
  </si>
  <si>
    <t xml:space="preserve">Barre supérieure : chemin courant et accès rapides (REQ_COMMON_KH_5100).</t>
  </si>
  <si>
    <t xml:space="preserve">5100</t>
  </si>
  <si>
    <t xml:space="preserve">ptbg/gui/reading_panel.py</t>
  </si>
  <si>
    <t xml:space="preserve">Panneau de lecture des curseurs, à droite de la zone graphique (REQ 5402).</t>
  </si>
  <si>
    <t xml:space="preserve">5402</t>
  </si>
  <si>
    <t xml:space="preserve">ptbg/gui/status_bar.py</t>
  </si>
  <si>
    <t xml:space="preserve">Barre d'état en bas de la fenêtre (REQ_COMMON_KH_5102).</t>
  </si>
  <si>
    <t xml:space="preserve">4105, 5102</t>
  </si>
  <si>
    <t xml:space="preserve">ptbg/gui/tasks.py</t>
  </si>
  <si>
    <t xml:space="preserve">Exécution des traitements longs hors du fil de l'interface (REQ_COMMON_KH_4105).</t>
  </si>
  <si>
    <t xml:space="preserve">4105</t>
  </si>
  <si>
    <t xml:space="preserve">ptbg/gui/tree_panel.py</t>
  </si>
  <si>
    <t xml:space="preserve">Arbre des données, zone gauche de la fenêtre.</t>
  </si>
  <si>
    <t xml:space="preserve">5103, 5105, 5200, 5201, 5202, 5203</t>
  </si>
  <si>
    <t xml:space="preserve">ptbg/plotting/monitor.py</t>
  </si>
  <si>
    <t xml:space="preserve">plotting</t>
  </si>
  <si>
    <t xml:space="preserve">Time Base Monitor : axe dédié à la base de temps (REQ 4102, 4103, 4104).</t>
  </si>
  <si>
    <t xml:space="preserve">4101, 4102, 4103, 4104</t>
  </si>
  <si>
    <t xml:space="preserve">ptbg/plotting/renderer.py</t>
  </si>
  <si>
    <t xml:space="preserve">Rendu d'un onglet (``TabState``) dans une figure Matplotlib.</t>
  </si>
  <si>
    <t xml:space="preserve">2200, 4101, 4102, 4104, 4105, 5300, 5400, 5405, 5406, 5408</t>
  </si>
  <si>
    <t xml:space="preserve">ptbg/plotting/styles.py</t>
  </si>
  <si>
    <t xml:space="preserve">Couleurs et tailles partagées par l'écran et le PDF.</t>
  </si>
  <si>
    <t xml:space="preserve">ptbg/plotting/time_axis.py</t>
  </si>
  <si>
    <t xml:space="preserve">Graduation de l'axe des temps (relatif en secondes ou horodatage absolu).</t>
  </si>
  <si>
    <t xml:space="preserve">ptbg/report/pdf_report.py</t>
  </si>
  <si>
    <t xml:space="preserve">report</t>
  </si>
  <si>
    <t xml:space="preserve">Rapport PDF (REQ_COMMON_KH_6000 à 6005, 4104).</t>
  </si>
  <si>
    <t xml:space="preserve">4104, 6000, 6001, 6002, 6005</t>
  </si>
  <si>
    <t xml:space="preserve">ptbg/system/activity_log.py</t>
  </si>
  <si>
    <t xml:space="preserve">system</t>
  </si>
  <si>
    <t xml:space="preserve">Journal d'activité de la session (REQ_COMMON_KH_5102 « Activity log »).</t>
  </si>
  <si>
    <t xml:space="preserve">5102</t>
  </si>
  <si>
    <t xml:space="preserve">ptbg/system/compat.py</t>
  </si>
  <si>
    <t xml:space="preserve">Mécanismes de compatibilité Windows 11 / SLES 15 SP7.</t>
  </si>
  <si>
    <t xml:space="preserve">2310, 3000, 3005</t>
  </si>
  <si>
    <t xml:space="preserve">ptbg/system/environment.py</t>
  </si>
  <si>
    <t xml:space="preserve">Relevé de l'environnement d'exécution (REQ_COMMON_KH_3004, 3005, 5101).</t>
  </si>
  <si>
    <t xml:space="preserve">3004</t>
  </si>
  <si>
    <t xml:space="preserve">ptbg/version.py</t>
  </si>
  <si>
    <t xml:space="preserve">Identité de l'outil : nom, version, date et document de spécification.</t>
  </si>
  <si>
    <t xml:space="preserve">3001, 5101, 5102, 6005</t>
  </si>
  <si>
    <t xml:space="preserve">VISU PTBG — script principal : construit l'interface graphique.</t>
  </si>
  <si>
    <t xml:space="preserve">3002, 3003, 4102, 5100, 5102, 5103, 5104, 5105, 5300, 5402</t>
  </si>
  <si>
    <t xml:space="preserve">tools/audit_environnement.py</t>
  </si>
  <si>
    <t xml:space="preserve">tools</t>
  </si>
  <si>
    <t xml:space="preserve">Relevé et contrôle de l'environnement d'exécution (REQ_COMMON_KH_3004, 3005).</t>
  </si>
  <si>
    <t xml:space="preserve">tools/banc_performance.py</t>
  </si>
  <si>
    <t xml:space="preserve">Banc de performance sur des fichiers CSV PTBG réels (REQ_COMMON_KH_2310, 4105).</t>
  </si>
  <si>
    <t xml:space="preserve">2310</t>
  </si>
  <si>
    <t xml:space="preserve">tools/generer_donnees_demo.py</t>
  </si>
  <si>
    <t xml:space="preserve">Génère les CSV de démonstration de data/demo/ (reproductibles, graine fixe).</t>
  </si>
  <si>
    <t xml:space="preserve">2100, 2104, 2201, 2301, 2305, 2306, 4100, 4101, 4107</t>
  </si>
  <si>
    <t xml:space="preserve">tools/verifier_tracabilite.py</t>
  </si>
  <si>
    <t xml:space="preserve">Vérifie que CHAQUE requis du document Word est tracé (aucun requis oublié).</t>
  </si>
  <si>
    <t xml:space="preserve">3006, 3007, 4103</t>
  </si>
  <si>
    <t xml:space="preserve">Fichier de test</t>
  </si>
  <si>
    <t xml:space="preserve">Classe</t>
  </si>
  <si>
    <t xml:space="preserve">Test</t>
  </si>
  <si>
    <t xml:space="preserve">Ce qui est vérifié</t>
  </si>
  <si>
    <t xml:space="preserve">Requis couverts</t>
  </si>
  <si>
    <t xml:space="preserve">test_analysis_tools</t>
  </si>
  <si>
    <t xml:space="preserve">SamplingTests</t>
  </si>
  <si>
    <t xml:space="preserve">test_nearest_and_hold_without_interpolation</t>
  </si>
  <si>
    <t xml:space="preserve">REQ 5401 : valeur d'un échantillon réel, jamais interpolée.</t>
  </si>
  <si>
    <t xml:space="preserve">5401</t>
  </si>
  <si>
    <t xml:space="preserve">test_unsorted_time_still_readable</t>
  </si>
  <si>
    <t xml:space="preserve">module : 4105, 5401, 5405, 5406, 5407, 5408, 5500</t>
  </si>
  <si>
    <t xml:space="preserve">test_unreadable_timestamps_are_skipped</t>
  </si>
  <si>
    <t xml:space="preserve">Horodatage illisible (NaN) : jamais lu, l'échantillon voisin réel l'est.</t>
  </si>
  <si>
    <t xml:space="preserve">test_step_to_neighbour_sample</t>
  </si>
  <si>
    <t xml:space="preserve">test_decimate_keeps_extremes_and_gaps</t>
  </si>
  <si>
    <t xml:space="preserve">test_decimate_window</t>
  </si>
  <si>
    <t xml:space="preserve">test_missing_markers_frame_empty_cells</t>
  </si>
  <si>
    <t xml:space="preserve">Croix sur le dernier point connu avant et le premier après une cellule vide.</t>
  </si>
  <si>
    <t xml:space="preserve">test_missing_markers_many_runs_stay_fast</t>
  </si>
  <si>
    <t xml:space="preserve">REQ 4105 : 300 000 suites de cellules vides traitées sans blocage (calcul</t>
  </si>
  <si>
    <t xml:space="preserve">test_break_at_gaps</t>
  </si>
  <si>
    <t xml:space="preserve">test_crossings_with_condition</t>
  </si>
  <si>
    <t xml:space="preserve">REQ 5406 / 5407 : franchissements, restreints par la condition.</t>
  </si>
  <si>
    <t xml:space="preserve">5406, 5407</t>
  </si>
  <si>
    <t xml:space="preserve">ConditionalAndXYTests</t>
  </si>
  <si>
    <t xml:space="preserve">test_same_file_condition_uses_same_row</t>
  </si>
  <si>
    <t xml:space="preserve">5407</t>
  </si>
  <si>
    <t xml:space="preserve">test_other_file_condition_holds_last_state</t>
  </si>
  <si>
    <t xml:space="preserve">test_and_or_combination</t>
  </si>
  <si>
    <t xml:space="preserve">test_conditional_statistics</t>
  </si>
  <si>
    <t xml:space="preserve">Section 4.5 / REQ 5500 (proposition) : statistiques sous condition.</t>
  </si>
  <si>
    <t xml:space="preserve">5500</t>
  </si>
  <si>
    <t xml:space="preserve">test_xy_same_file_and_cross_file</t>
  </si>
  <si>
    <t xml:space="preserve">REQ 5408 : couples même ligne, ou plus proche à moins d'une demi-période.</t>
  </si>
  <si>
    <t xml:space="preserve">test_xy_cloud_is_cached_until_data_change</t>
  </si>
  <si>
    <t xml:space="preserve">REQ 5408 / 4105 : le nuage n'est pas reformé à chaque mouvement de souris, mais</t>
  </si>
  <si>
    <t xml:space="preserve">4105, 5408</t>
  </si>
  <si>
    <t xml:space="preserve">test_readings_rows</t>
  </si>
  <si>
    <t xml:space="preserve">REQ 5401-5405 : lectures C1, C2, Δ, global et H.</t>
  </si>
  <si>
    <t xml:space="preserve">5401, 5405</t>
  </si>
  <si>
    <t xml:space="preserve">test_architecture</t>
  </si>
  <si>
    <t xml:space="preserve">ArchitectureTests</t>
  </si>
  <si>
    <t xml:space="preserve">test_main_only_builds_the_gui</t>
  </si>
  <si>
    <t xml:space="preserve">REQ_COMMON_KH_3002.</t>
  </si>
  <si>
    <t xml:space="preserve">3002</t>
  </si>
  <si>
    <t xml:space="preserve">test_processing_is_externalized_and_gui_free</t>
  </si>
  <si>
    <t xml:space="preserve">REQ_COMMON_KH_3003 : core sans Tk ni Matplotlib ; dessin et rapport sans Tk.</t>
  </si>
  <si>
    <t xml:space="preserve">3003</t>
  </si>
  <si>
    <t xml:space="preserve">test_third_party_libraries_are_documented_and_pinned</t>
  </si>
  <si>
    <t xml:space="preserve">REQ_COMMON_KH_3004 : bibliothèques tierces figées et documentées, stdlib listée.</t>
  </si>
  <si>
    <t xml:space="preserve">test_os_specific_code_is_centralized</t>
  </si>
  <si>
    <t xml:space="preserve">REQ_COMMON_KH_3005 : seuls system/compat.py et environment.py testent l'OS.</t>
  </si>
  <si>
    <t xml:space="preserve">3005</t>
  </si>
  <si>
    <t xml:space="preserve">test_sources_are_commented</t>
  </si>
  <si>
    <t xml:space="preserve">REQ_COMMON_KH_3006 : docstring par module et par fonction/classe publique non triviale.</t>
  </si>
  <si>
    <t xml:space="preserve">3006</t>
  </si>
  <si>
    <t xml:space="preserve">test_no_unused_functions</t>
  </si>
  <si>
    <t xml:space="preserve">REQ_COMMON_KH_3007 : toute fonction définie est appelée quelque part.</t>
  </si>
  <si>
    <t xml:space="preserve">3007</t>
  </si>
  <si>
    <t xml:space="preserve">test_minimal_python_syntax</t>
  </si>
  <si>
    <t xml:space="preserve">REQ_COMMON_KH_3000 / 3001 : le code se compile avec la grammaire de la version minimale.</t>
  </si>
  <si>
    <t xml:space="preserve">3000, 3001</t>
  </si>
  <si>
    <t xml:space="preserve">test_templates_fit_their_grid</t>
  </si>
  <si>
    <t xml:space="preserve">REQ_COMMON_KH_5300 : plusieurs modèles, axes dans la grille, au moins un axe temporel.</t>
  </si>
  <si>
    <t xml:space="preserve">5300</t>
  </si>
  <si>
    <t xml:space="preserve">test_every_requirement_is_traced</t>
  </si>
  <si>
    <t xml:space="preserve">Aucun requis du Word laissé de côté : matrice + code + test.</t>
  </si>
  <si>
    <t xml:space="preserve">module : 3001</t>
  </si>
  <si>
    <t xml:space="preserve">test_csv_reader</t>
  </si>
  <si>
    <t xml:space="preserve">CsvFormatTests</t>
  </si>
  <si>
    <t xml:space="preserve">test_reads_examples_and_keeps_first_column_as_time</t>
  </si>
  <si>
    <t xml:space="preserve">REQ 2300 / 2304 / 2308 / 2309 sur les CSV reçus.</t>
  </si>
  <si>
    <t xml:space="preserve">2300, 2304, 2308, 2309</t>
  </si>
  <si>
    <t xml:space="preserve">test_semicolon_separator_rejected</t>
  </si>
  <si>
    <t xml:space="preserve">REQ 2301 : point-virgule refusé, même avec décimale à virgule.</t>
  </si>
  <si>
    <t xml:space="preserve">test_non_utf8_read_but_flagged_with_requirement</t>
  </si>
  <si>
    <t xml:space="preserve">REQ 2302 : un fichier Windows-1252 est une non-conformité (ERREUR, ligne citée),</t>
  </si>
  <si>
    <t xml:space="preserve">2302</t>
  </si>
  <si>
    <t xml:space="preserve">test_bom_tolerated_and_reported</t>
  </si>
  <si>
    <t xml:space="preserve">test_metadata_lines_reported_and_skipped</t>
  </si>
  <si>
    <t xml:space="preserve">REQ 2303 : préambule et lignes « # » signalés, données lues.</t>
  </si>
  <si>
    <t xml:space="preserve">2303</t>
  </si>
  <si>
    <t xml:space="preserve">test_header_names_normalized</t>
  </si>
  <si>
    <t xml:space="preserve">REQ 2309 : noms vides et doublons renommés et signalés.</t>
  </si>
  <si>
    <t xml:space="preserve">2309</t>
  </si>
  <si>
    <t xml:space="preserve">test_numeric_first_line_flagged</t>
  </si>
  <si>
    <t xml:space="preserve">REQ 2308 : une 1re ligne numérique n'est pas un en-tête.</t>
  </si>
  <si>
    <t xml:space="preserve">2308</t>
  </si>
  <si>
    <t xml:space="preserve">test_malformed_rows_rejected_without_blocking</t>
  </si>
  <si>
    <t xml:space="preserve">module : 2200, 2201, 2310, 4105</t>
  </si>
  <si>
    <t xml:space="preserve">test_size_limit</t>
  </si>
  <si>
    <t xml:space="preserve">REQ 2310 : au-delà du maximum paramétré, le fichier est refusé.</t>
  </si>
  <si>
    <t xml:space="preserve">test_other_extension_warned</t>
  </si>
  <si>
    <t xml:space="preserve">2300</t>
  </si>
  <si>
    <t xml:space="preserve">test_empty_and_one_column_files</t>
  </si>
  <si>
    <t xml:space="preserve">test_cancellation</t>
  </si>
  <si>
    <t xml:space="preserve">test_large_file_progress</t>
  </si>
  <si>
    <t xml:space="preserve">REQ 4105 : lecture par blocs avec avancement.</t>
  </si>
  <si>
    <t xml:space="preserve">test_mixed_columns_converted_like_cell_by_cell</t>
  </si>
  <si>
    <t xml:space="preserve">REQ 4105 : colonnes mixtes converties par blocs avec le classement d'une cellule</t>
  </si>
  <si>
    <t xml:space="preserve">test_parse_numbers_isolates_bad_cells</t>
  </si>
  <si>
    <t xml:space="preserve">Conversion en bloc : les cellules refusées sont repérées une à une, les autres</t>
  </si>
  <si>
    <t xml:space="preserve">test_unreadable_file_isolated</t>
  </si>
  <si>
    <t xml:space="preserve">REQ 4105 / 2105 : un fichier malade est conservé avec son diagnostic.</t>
  </si>
  <si>
    <t xml:space="preserve">2105, 4105</t>
  </si>
  <si>
    <t xml:space="preserve">SignalTypeTests</t>
  </si>
  <si>
    <t xml:space="preserve">test_auto_types</t>
  </si>
  <si>
    <t xml:space="preserve">REQ 2200 / 2201 / 5202 : Bool, Float, Texte selon le contenu.</t>
  </si>
  <si>
    <t xml:space="preserve">test_empty_cells_stay_empty</t>
  </si>
  <si>
    <t xml:space="preserve">Aucune valeur inventée : vide = NaN + masque « missing ».</t>
  </si>
  <si>
    <t xml:space="preserve">test_forced_bool_marks_other_numbers_invalid</t>
  </si>
  <si>
    <t xml:space="preserve">test_text_type_from_numbers</t>
  </si>
  <si>
    <t xml:space="preserve">test_indexed_binary_groups</t>
  </si>
  <si>
    <t xml:space="preserve">REQ 2201 (groupe binaire) : DI[0..2] regroupés, mot calculé bit à bit.</t>
  </si>
  <si>
    <t xml:space="preserve">test_gui</t>
  </si>
  <si>
    <t xml:space="preserve">InterfaceTests</t>
  </si>
  <si>
    <t xml:space="preserve">test_main_window_layout</t>
  </si>
  <si>
    <t xml:space="preserve">REQ 5100, 5102, 5103, 5104, 5106, 3002 : menus, arbre à gauche, graphique à droite, barre d'état.</t>
  </si>
  <si>
    <t xml:space="preserve">3002, 5100, 5102, 5103, 5104, 5106</t>
  </si>
  <si>
    <t xml:space="preserve">test_tree_levels_and_types</t>
  </si>
  <si>
    <t xml:space="preserve">REQ 5200, 5201, 5202, 5203 : paquet &gt; fichiers &gt; base de temps + variables typées.</t>
  </si>
  <si>
    <t xml:space="preserve">2105, 5200, 5201, 5202, 5203</t>
  </si>
  <si>
    <t xml:space="preserve">test_curves_cursors_mouse_and_keyboard</t>
  </si>
  <si>
    <t xml:space="preserve">REQ 5400, 5401, 5403, 5404, 5405 : curseurs par axe, double, global, flèches clavier.</t>
  </si>
  <si>
    <t xml:space="preserve">5400, 5401, 5403, 5404, 5405</t>
  </si>
  <si>
    <t xml:space="preserve">test_tracking_mode</t>
  </si>
  <si>
    <t xml:space="preserve">REQ 5402 : le curseur suit la souris sans clic.</t>
  </si>
  <si>
    <t xml:space="preserve">4105, 5402</t>
  </si>
  <si>
    <t xml:space="preserve">test_drag_and_drop_to_axle</t>
  </si>
  <si>
    <t xml:space="preserve">module : 3002, 4103, 5100, 5106, 5200, 5203, 5300, 5400, 5408, 6002, 6004</t>
  </si>
  <si>
    <t xml:space="preserve">test_monitor_hide_rules</t>
  </si>
  <si>
    <t xml:space="preserve">REQ 4103 : refus si alerte, accepté si base de temps conforme.</t>
  </si>
  <si>
    <t xml:space="preserve">4103</t>
  </si>
  <si>
    <t xml:space="preserve">test_unit_confirmed_for_several_files</t>
  </si>
  <si>
    <t xml:space="preserve">REQ 2307 : unité supposée = avertissement ; confirmée d'un coup pour plusieurs PLC.</t>
  </si>
  <si>
    <t xml:space="preserve">2307</t>
  </si>
  <si>
    <t xml:space="preserve">test_horizontal_cursor_only_on_float</t>
  </si>
  <si>
    <t xml:space="preserve">REQ 5406 : refusé sur un axe logique.</t>
  </si>
  <si>
    <t xml:space="preserve">5406</t>
  </si>
  <si>
    <t xml:space="preserve">test_xy_tab_and_point_pick</t>
  </si>
  <si>
    <t xml:space="preserve">REQ 5408 : nuage X/Y et désignation d'un point.</t>
  </si>
  <si>
    <t xml:space="preserve">5106, 5408</t>
  </si>
  <si>
    <t xml:space="preserve">test_reports_and_project</t>
  </si>
  <si>
    <t xml:space="preserve">REQ 6003 / 6004 et projet : rapport auto, pas à pas, enregistrement, réouverture.</t>
  </si>
  <si>
    <t xml:space="preserve">6002, 6003, 6004</t>
  </si>
  <si>
    <t xml:space="preserve">test_information_windows_and_tree_toggle</t>
  </si>
  <si>
    <t xml:space="preserve">REQ 5105 (arbre masquable) ; REQ 5101 (version, historique, sources, aide).</t>
  </si>
  <si>
    <t xml:space="preserve">5101, 5105</t>
  </si>
  <si>
    <t xml:space="preserve">test_absolute_time_mode</t>
  </si>
  <si>
    <t xml:space="preserve">REQ 4107 : axe absolu refusé sans origine, accepté pour l'horodatage hh:mm:ss.</t>
  </si>
  <si>
    <t xml:space="preserve">4107</t>
  </si>
  <si>
    <t xml:space="preserve">test_package_report</t>
  </si>
  <si>
    <t xml:space="preserve">PackageTests</t>
  </si>
  <si>
    <t xml:space="preserve">test_multi_plc_package_and_comparison</t>
  </si>
  <si>
    <t xml:space="preserve">REQ 2101 / 2103 / 2104 : chaque PLC garde son horodatage ; comparaison.</t>
  </si>
  <si>
    <t xml:space="preserve">2101, 2103, 2104</t>
  </si>
  <si>
    <t xml:space="preserve">test_loss_of_data_flow_between_plcs</t>
  </si>
  <si>
    <t xml:space="preserve">REQ 2104 : un PLC qui s'arrête plus tôt est signalé.</t>
  </si>
  <si>
    <t xml:space="preserve">2104</t>
  </si>
  <si>
    <t xml:space="preserve">test_phase_between_synchronised_plcs</t>
  </si>
  <si>
    <t xml:space="preserve">test_absolute_timeline_aligns_plcs</t>
  </si>
  <si>
    <t xml:space="preserve">REQ 4107 / 2102 : horodatage absolu depuis l'origine de chaque fichier.</t>
  </si>
  <si>
    <t xml:space="preserve">2102, 4107</t>
  </si>
  <si>
    <t xml:space="preserve">test_manual_offset</t>
  </si>
  <si>
    <t xml:space="preserve">2102</t>
  </si>
  <si>
    <t xml:space="preserve">test_type_override_and_report_text</t>
  </si>
  <si>
    <t xml:space="preserve">REQ 5202 : type forcé par l'utilisateur ; diagnostic complet.</t>
  </si>
  <si>
    <t xml:space="preserve">5202</t>
  </si>
  <si>
    <t xml:space="preserve">test_project_roundtrip_with_relative_paths</t>
  </si>
  <si>
    <t xml:space="preserve">REQ 3005 : chemins relatifs portables ; état des onglets conservé.</t>
  </si>
  <si>
    <t xml:space="preserve">3005, 4106</t>
  </si>
  <si>
    <t xml:space="preserve">RenderAndReportTests</t>
  </si>
  <si>
    <t xml:space="preserve">test_every_template_has_time_base_monitor</t>
  </si>
  <si>
    <t xml:space="preserve">REQ 5300 / 4102 : chaque modèle reçoit automatiquement le TBM.</t>
  </si>
  <si>
    <t xml:space="preserve">4102, 5300</t>
  </si>
  <si>
    <t xml:space="preserve">test_monitor_hiding_rules</t>
  </si>
  <si>
    <t xml:space="preserve">REQ 4103 : masquage refusé en cas d'erreur, permis sinon.</t>
  </si>
  <si>
    <t xml:space="preserve">test_report_note_when_monitor_hidden</t>
  </si>
  <si>
    <t xml:space="preserve">REQ 4104 : TBM retiré -&gt; indication de bonne construction dans le rapport.</t>
  </si>
  <si>
    <t xml:space="preserve">4104</t>
  </si>
  <si>
    <t xml:space="preserve">test_cursor_labels_show_time_and_value</t>
  </si>
  <si>
    <t xml:space="preserve">REQ 5401 / 5403 : instants automatiques et valeur de la courbe sélectionnée.</t>
  </si>
  <si>
    <t xml:space="preserve">5401, 5403, 5404</t>
  </si>
  <si>
    <t xml:space="preserve">test_pdf_automatic_and_step_by_step</t>
  </si>
  <si>
    <t xml:space="preserve">REQ 6000, 6001, 6002, 6005 : PDF, en-tête complet, pages dans l'ordre + traçabilité.</t>
  </si>
  <si>
    <t xml:space="preserve">6000, 6001, 6002, 6005</t>
  </si>
  <si>
    <t xml:space="preserve">test_robustesse</t>
  </si>
  <si>
    <t xml:space="preserve">CsvRobustnessTests</t>
  </si>
  <si>
    <t xml:space="preserve">test_unclosed_quote_only_loses_its_own_line</t>
  </si>
  <si>
    <t xml:space="preserve">Un guillemet non fermé n'avale plus la suite du fichier.</t>
  </si>
  <si>
    <t xml:space="preserve">module : 2301, 2310, 4101</t>
  </si>
  <si>
    <t xml:space="preserve">test_quoted_fields_and_escaped_quotes</t>
  </si>
  <si>
    <t xml:space="preserve">test_trailing_commas_on_data_rows_keep_the_header</t>
  </si>
  <si>
    <t xml:space="preserve">Virgules finales sur les données seulement : l'en-tête n'est pas perdu.</t>
  </si>
  <si>
    <t xml:space="preserve">test_preamble_of_same_width_is_metadata</t>
  </si>
  <si>
    <t xml:space="preserve">REQ 2303 : un préambule aussi large que le tableau n'est pas pris pour l'en-tête.</t>
  </si>
  <si>
    <t xml:space="preserve">test_missing_header_keeps_the_first_measure</t>
  </si>
  <si>
    <t xml:space="preserve">REQ 2308 : sans en-tête, la 1re ligne de mesures est conservée.</t>
  </si>
  <si>
    <t xml:space="preserve">test_repeated_header_and_concatenated_captures</t>
  </si>
  <si>
    <t xml:space="preserve">test_blank_and_empty_field_rows_are_ignored</t>
  </si>
  <si>
    <t xml:space="preserve">test_bom_of_a_second_concatenated_file</t>
  </si>
  <si>
    <t xml:space="preserve">test_header_longer_than_every_data_row</t>
  </si>
  <si>
    <t xml:space="preserve">Dernière colonne jamais écrite : les mesures sont gardées, la colonne reste vide.</t>
  </si>
  <si>
    <t xml:space="preserve">test_rows_with_wrong_width_rejected_and_quoted</t>
  </si>
  <si>
    <t xml:space="preserve">test_interrupted_writing</t>
  </si>
  <si>
    <t xml:space="preserve">Fichier coupé pendant l'écriture : ligne tronquée ou remplissage d'octets nuls.</t>
  </si>
  <si>
    <t xml:space="preserve">test_nul_bytes_inside_a_line_reject_only_that_line</t>
  </si>
  <si>
    <t xml:space="preserve">test_line_endings_cr_crlf_and_mixed</t>
  </si>
  <si>
    <t xml:space="preserve">test_invalid_byte_in_the_middle_is_flagged_not_fatal</t>
  </si>
  <si>
    <t xml:space="preserve">REQ 2302 : un octet non UTF-8 isolé ne fait plus refuser tout le fichier.</t>
  </si>
  <si>
    <t xml:space="preserve">test_utf16_is_read_and_flagged</t>
  </si>
  <si>
    <t xml:space="preserve">test_block_boundaries_never_change_the_result</t>
  </si>
  <si>
    <t xml:space="preserve">REQ 4105 : lecture par blocs ; un fichier abîmé lu avec des blocs de 7 caractères</t>
  </si>
  <si>
    <t xml:space="preserve">2301, 4105</t>
  </si>
  <si>
    <t xml:space="preserve">test_semicolon_with_decimal_comma_rejected</t>
  </si>
  <si>
    <t xml:space="preserve">REQ 2301 : même quand la virgule décimale donne autant de virgules que de « ; ».</t>
  </si>
  <si>
    <t xml:space="preserve">test_decimal_comma_in_comma_file_never_invents_columns</t>
  </si>
  <si>
    <t xml:space="preserve">Une virgule décimale dans un fichier à virgules : refus expliqué, pas de fausses colonnes.</t>
  </si>
  <si>
    <t xml:space="preserve">test_very_long_cell_is_handled</t>
  </si>
  <si>
    <t xml:space="preserve">ValueAndTimeRobustnessTests</t>
  </si>
  <si>
    <t xml:space="preserve">test_nan_and_inf_are_missing_values_not_text</t>
  </si>
  <si>
    <t xml:space="preserve">4101</t>
  </si>
  <si>
    <t xml:space="preserve">test_trailer_line_does_not_change_types</t>
  </si>
  <si>
    <t xml:space="preserve">Une ligne de total en fin de fichier ne transforme pas un Bool en Float.</t>
  </si>
  <si>
    <t xml:space="preserve">test_time_format_found_despite_garbage_at_the_start</t>
  </si>
  <si>
    <t xml:space="preserve">test_isolated_bad_clock_value_does_not_shift_the_rest_by_a_day</t>
  </si>
  <si>
    <t xml:space="preserve">REQ 2306 : « 00:00:00 » isolé au milieu d'un essai à 18 h n'est pas un passage de minuit.</t>
  </si>
  <si>
    <t xml:space="preserve">2306</t>
  </si>
  <si>
    <t xml:space="preserve">test_isolated_forward_clock_value_does_not_shift_the_rest_by_a_day</t>
  </si>
  <si>
    <t xml:space="preserve">REQ 2306 : « 23:59:59 » isolé au milieu d'un essai à 00 h 10 n'est pas un passage de</t>
  </si>
  <si>
    <t xml:space="preserve">test_isolated_aberrant_timestamp_is_one_error_not_a_fake_gap</t>
  </si>
  <si>
    <t xml:space="preserve">test_one_huge_counter_value_keeps_the_counter_origin</t>
  </si>
  <si>
    <t xml:space="preserve">Une valeur aberrante ne fait pas passer le compteur en « grands entiers relatifs ».</t>
  </si>
  <si>
    <t xml:space="preserve">test_assumed_unit_is_a_warning</t>
  </si>
  <si>
    <t xml:space="preserve">REQ 2307 : unité supposée = avertissement (période à confirmer), levé dès qu'elle est choisie.</t>
  </si>
  <si>
    <t xml:space="preserve">test_raw_timestamps_are_displayed_by_default</t>
  </si>
  <si>
    <t xml:space="preserve">REQ 4107 : l'affichage brut est la référence ; la régularisation est une option.</t>
  </si>
  <si>
    <t xml:space="preserve">test_unexpected_error_is_isolated_to_its_file</t>
  </si>
  <si>
    <t xml:space="preserve">REQ 4105 : une erreur imprévue sur un fichier le marque en erreur, sans exception.</t>
  </si>
  <si>
    <t xml:space="preserve">test_extreme_values_are_drawn</t>
  </si>
  <si>
    <t xml:space="preserve">Valeurs ±1e308 : l'axe se borne au lieu de lever « Singular matrix ».</t>
  </si>
  <si>
    <t xml:space="preserve">test_random_corruptions_never_raise</t>
  </si>
  <si>
    <t xml:space="preserve">REQ 4105 : 40 corruptions aléatoires (octets, coupures, insertions) ; jamais d'exception,</t>
  </si>
  <si>
    <t xml:space="preserve">test_time_base</t>
  </si>
  <si>
    <t xml:space="preserve">TimeBaseTests</t>
  </si>
  <si>
    <t xml:space="preserve">test_perfect_raster</t>
  </si>
  <si>
    <t xml:space="preserve">REQ 4100 : valeur, stabilité, croissance continue conformes.</t>
  </si>
  <si>
    <t xml:space="preserve">4100</t>
  </si>
  <si>
    <t xml:space="preserve">test_preferred_frequencies_are_information_only</t>
  </si>
  <si>
    <t xml:space="preserve">REQ 2100 : 1 ms (hors 10/20 ms) ne perturbe pas le traitement.</t>
  </si>
  <si>
    <t xml:space="preserve">2100</t>
  </si>
  <si>
    <t xml:space="preserve">test_jitter_ignored_within_tolerance</t>
  </si>
  <si>
    <t xml:space="preserve">REQ 4107 : jitter toléré ; horodatage régularisé sur le raster.</t>
  </si>
  <si>
    <t xml:space="preserve">test_missing_samples_detected_and_kept_in_regular_time</t>
  </si>
  <si>
    <t xml:space="preserve">REQ 4101 : trou de 3 échantillons ; le trou reste visible après régularisation.</t>
  </si>
  <si>
    <t xml:space="preserve">test_wrong_phasing_detected</t>
  </si>
  <si>
    <t xml:space="preserve">REQ 4101 : Δt hors grille = déphasage.</t>
  </si>
  <si>
    <t xml:space="preserve">test_duplicates_and_backward_are_errors</t>
  </si>
  <si>
    <t xml:space="preserve">REQ 4100 : croissance continue.</t>
  </si>
  <si>
    <t xml:space="preserve">test_frequency_change_segments</t>
  </si>
  <si>
    <t xml:space="preserve">REQ 2104 : 20 ms puis 40 ms -&gt; deux segments, pas une perte en série.</t>
  </si>
  <si>
    <t xml:space="preserve">test_user_nominal_period</t>
  </si>
  <si>
    <t xml:space="preserve">REQ 4106 : raster imposé ; écart signalé avec son diagnostic.</t>
  </si>
  <si>
    <t xml:space="preserve">4106</t>
  </si>
  <si>
    <t xml:space="preserve">test_invalid_timestamps</t>
  </si>
  <si>
    <t xml:space="preserve">module : 2100, 2104, 4101, 4105, 4106, 4107</t>
  </si>
  <si>
    <t xml:space="preserve">test_pathological_inputs_never_raise</t>
  </si>
  <si>
    <t xml:space="preserve">REQ 4105 : aucun blocage ni exception sur une base de temps malade.</t>
  </si>
  <si>
    <t xml:space="preserve">test_events_are_capped</t>
  </si>
  <si>
    <t xml:space="preserve">test_large_series_speed</t>
  </si>
  <si>
    <t xml:space="preserve">REQ 4105 : 2 millions d'échantillons analysés en quelques secondes.</t>
  </si>
  <si>
    <t xml:space="preserve">test_many_frequency_changes_stay_linear</t>
  </si>
  <si>
    <t xml:space="preserve">REQ 4105 / 2104 : 40 000 changements de fréquence analysés en quelques secondes</t>
  </si>
  <si>
    <t xml:space="preserve">2104, 4105</t>
  </si>
  <si>
    <t xml:space="preserve">test_ms_formatting</t>
  </si>
  <si>
    <t xml:space="preserve">test_time_parser</t>
  </si>
  <si>
    <t xml:space="preserve">TimeParserTests</t>
  </si>
  <si>
    <t xml:space="preserve">test_detect_formats</t>
  </si>
  <si>
    <t xml:space="preserve">module : 2307, 4105, 4107</t>
  </si>
  <si>
    <t xml:space="preserve">test_unit_from_header</t>
  </si>
  <si>
    <t xml:space="preserve">REQ 2307 : unité lue dans le nom de la colonne.</t>
  </si>
  <si>
    <t xml:space="preserve">test_counter_with_assumed_unit_and_pretrig</t>
  </si>
  <si>
    <t xml:space="preserve">Pré-déclenchement : temps négatifs conservés, t = 0 = déclenchement.</t>
  </si>
  <si>
    <t xml:space="preserve">2305</t>
  </si>
  <si>
    <t xml:space="preserve">test_column_and_line_by_line_conversions_agree</t>
  </si>
  <si>
    <t xml:space="preserve">REQ 4105 / 2306 : la conversion de toute la colonne d'un coup donne exactement les</t>
  </si>
  <si>
    <t xml:space="preserve">2306, 4105</t>
  </si>
  <si>
    <t xml:space="preserve">test_calendar_days_match_python_dates</t>
  </si>
  <si>
    <t xml:space="preserve">Jours calendaires calculés en bloc = ``datetime.date`` (années bissextiles comprises).</t>
  </si>
  <si>
    <t xml:space="preserve">test_big_integer_counter_with_odd_rows</t>
  </si>
  <si>
    <t xml:space="preserve">REQ 2307 : compteur en ns depuis 1970 converti en entiers exacts, y compris une</t>
  </si>
  <si>
    <t xml:space="preserve">test_counter_with_absolute_origin</t>
  </si>
  <si>
    <t xml:space="preserve">REQ 4107 : origine absolue saisie = instant du compteur 0.</t>
  </si>
  <si>
    <t xml:space="preserve">test_cycle_unit_requires_period</t>
  </si>
  <si>
    <t xml:space="preserve">test_big_integer_counter_keeps_precision</t>
  </si>
  <si>
    <t xml:space="preserve">Compteurs en ns depuis 1970 : pas de perte de précision.</t>
  </si>
  <si>
    <t xml:space="preserve">test_time_of_day_fraction_styles_and_midnight</t>
  </si>
  <si>
    <t xml:space="preserve">REQ 2306 : hh:mm:ss.fraction jusqu'à la ns, groupes ms.µs.ns, minuit.</t>
  </si>
  <si>
    <t xml:space="preserve">test_time_of_day_with_date</t>
  </si>
  <si>
    <t xml:space="preserve">test_datetime_formats</t>
  </si>
  <si>
    <t xml:space="preserve">test_unknown_format_is_an_error_not_a_crash</t>
  </si>
  <si>
    <t xml:space="preserve">test_parse_and_format_absolute</t>
  </si>
  <si>
    <t xml:space="preserve">test_settings_roundtrip</t>
  </si>
</sst>
</file>

<file path=xl/styles.xml><?xml version="1.0" encoding="utf-8"?>
<styleSheet xmlns="http://schemas.openxmlformats.org/spreadsheetml/2006/main">
  <numFmts count="3">
    <numFmt numFmtId="164" formatCode="General"/>
    <numFmt numFmtId="165" formatCode="General"/>
    <numFmt numFmtId="166" formatCode="0.0%"/>
  </numFmts>
  <fonts count="12">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i val="true"/>
      <sz val="9"/>
      <name val="Arial"/>
      <family val="0"/>
      <charset val="1"/>
    </font>
    <font>
      <b val="true"/>
      <sz val="10"/>
      <color rgb="FFFFFFFF"/>
      <name val="Arial"/>
      <family val="0"/>
      <charset val="1"/>
    </font>
    <font>
      <sz val="10"/>
      <name val="Arial"/>
      <family val="0"/>
      <charset val="1"/>
    </font>
    <font>
      <b val="true"/>
      <sz val="10"/>
      <name val="Arial"/>
      <family val="0"/>
      <charset val="1"/>
    </font>
    <font>
      <b val="true"/>
      <sz val="11"/>
      <color rgb="FF1F4E78"/>
      <name val="Arial"/>
      <family val="0"/>
      <charset val="1"/>
    </font>
    <font>
      <b val="true"/>
      <sz val="9"/>
      <name val="Arial"/>
      <family val="0"/>
      <charset val="1"/>
    </font>
    <font>
      <sz val="9"/>
      <name val="Arial"/>
      <family val="0"/>
      <charset val="1"/>
    </font>
  </fonts>
  <fills count="9">
    <fill>
      <patternFill patternType="none"/>
    </fill>
    <fill>
      <patternFill patternType="gray125"/>
    </fill>
    <fill>
      <patternFill patternType="solid">
        <fgColor rgb="FF1F4E78"/>
        <bgColor rgb="FF003366"/>
      </patternFill>
    </fill>
    <fill>
      <patternFill patternType="solid">
        <fgColor rgb="FFC6EFCE"/>
        <bgColor rgb="FFDDEBF7"/>
      </patternFill>
    </fill>
    <fill>
      <patternFill patternType="solid">
        <fgColor rgb="FFFFEB9C"/>
        <bgColor rgb="FFFCE4D6"/>
      </patternFill>
    </fill>
    <fill>
      <patternFill patternType="solid">
        <fgColor rgb="FFF4CCCC"/>
        <bgColor rgb="FFFCE4D6"/>
      </patternFill>
    </fill>
    <fill>
      <patternFill patternType="solid">
        <fgColor rgb="FFDDEBF7"/>
        <bgColor rgb="FFCCFFFF"/>
      </patternFill>
    </fill>
    <fill>
      <patternFill patternType="solid">
        <fgColor rgb="FFFCE4D6"/>
        <bgColor rgb="FFF4CCCC"/>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1" fillId="7" borderId="1" xfId="0" applyFont="true" applyBorder="true" applyAlignment="true" applyProtection="false">
      <alignment horizontal="general" vertical="top" textRotation="0" wrapText="true" indent="0" shrinkToFit="false"/>
      <protection locked="true" hidden="false"/>
    </xf>
    <xf numFmtId="164" fontId="11" fillId="8"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FCE4D6"/>
          <bgColor rgb="FF000000"/>
        </patternFill>
      </fill>
    </dxf>
    <dxf>
      <fill>
        <patternFill patternType="solid">
          <fgColor rgb="FFC6EFCE"/>
          <bgColor rgb="FF000000"/>
        </patternFill>
      </fill>
    </dxf>
    <dxf>
      <fill>
        <patternFill patternType="solid">
          <fgColor rgb="FFDDEBF7"/>
          <bgColor rgb="FF000000"/>
        </patternFill>
      </fill>
    </dxf>
    <dxf>
      <fill>
        <patternFill patternType="solid">
          <fgColor rgb="FFF4CCCC"/>
          <bgColor rgb="FF000000"/>
        </patternFill>
      </fill>
    </dxf>
    <dxf>
      <fill>
        <patternFill patternType="solid">
          <fgColor rgb="FFFFEB9C"/>
          <bgColor rgb="FF000000"/>
        </patternFill>
      </fill>
    </dxf>
    <dxf>
      <fill>
        <patternFill>
          <bgColor rgb="FFC6EFCE"/>
        </patternFill>
      </fill>
    </dxf>
    <dxf>
      <fill>
        <patternFill>
          <bgColor rgb="FFFFEB9C"/>
        </patternFill>
      </fill>
    </dxf>
    <dxf>
      <fill>
        <patternFill>
          <bgColor rgb="FFF4CCCC"/>
        </patternFill>
      </fill>
    </dxf>
    <dxf>
      <fill>
        <patternFill>
          <bgColor rgb="FFDDEBF7"/>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0"/>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6" min="2" style="0" width="18"/>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row>
    <row r="5" customFormat="false" ht="15" hidden="false" customHeight="false" outlineLevel="0" collapsed="false">
      <c r="A5" s="4" t="s">
        <v>5</v>
      </c>
      <c r="B5" s="5" t="n">
        <f aca="false">COUNTIF(Requis!$J:$J,A5)</f>
        <v>49</v>
      </c>
      <c r="C5" s="6" t="n">
        <f aca="false">IF($B$9=0,0,B5/$B$9)</f>
        <v>0.765625</v>
      </c>
    </row>
    <row r="6" customFormat="false" ht="15" hidden="false" customHeight="false" outlineLevel="0" collapsed="false">
      <c r="A6" s="7" t="s">
        <v>6</v>
      </c>
      <c r="B6" s="5" t="n">
        <f aca="false">COUNTIF(Requis!$J:$J,A6)</f>
        <v>12</v>
      </c>
      <c r="C6" s="6" t="n">
        <f aca="false">IF($B$9=0,0,B6/$B$9)</f>
        <v>0.1875</v>
      </c>
    </row>
    <row r="7" customFormat="false" ht="15" hidden="false" customHeight="false" outlineLevel="0" collapsed="false">
      <c r="A7" s="8" t="s">
        <v>7</v>
      </c>
      <c r="B7" s="5" t="n">
        <f aca="false">COUNTIF(Requis!$J:$J,A7)</f>
        <v>1</v>
      </c>
      <c r="C7" s="6" t="n">
        <f aca="false">IF($B$9=0,0,B7/$B$9)</f>
        <v>0.015625</v>
      </c>
    </row>
    <row r="8" customFormat="false" ht="15" hidden="false" customHeight="false" outlineLevel="0" collapsed="false">
      <c r="A8" s="9" t="s">
        <v>8</v>
      </c>
      <c r="B8" s="5" t="n">
        <f aca="false">COUNTIF(Requis!$J:$J,A8)</f>
        <v>2</v>
      </c>
      <c r="C8" s="6" t="n">
        <f aca="false">IF($B$9=0,0,B8/$B$9)</f>
        <v>0.03125</v>
      </c>
    </row>
    <row r="9" customFormat="false" ht="15" hidden="false" customHeight="false" outlineLevel="0" collapsed="false">
      <c r="A9" s="10" t="s">
        <v>9</v>
      </c>
      <c r="B9" s="10" t="n">
        <f aca="false">SUM(B5:B8)</f>
        <v>64</v>
      </c>
      <c r="C9" s="11" t="n">
        <f aca="false">SUM(C5:C8)</f>
        <v>1</v>
      </c>
    </row>
    <row r="10" customFormat="false" ht="15" hidden="false" customHeight="false" outlineLevel="0" collapsed="false">
      <c r="A10" s="12" t="s">
        <v>10</v>
      </c>
      <c r="B10" s="12" t="n">
        <f aca="false">COUNTA(Requis!$B$2:$B$65)</f>
        <v>64</v>
      </c>
      <c r="C10" s="13"/>
    </row>
    <row r="11" customFormat="false" ht="15" hidden="false" customHeight="false" outlineLevel="0" collapsed="false">
      <c r="A11" s="12" t="s">
        <v>11</v>
      </c>
      <c r="B11" s="12" t="n">
        <f aca="false">COUNTIF(Requis!$G$2:$G$65,"")</f>
        <v>0</v>
      </c>
      <c r="C11" s="13"/>
    </row>
    <row r="12" customFormat="false" ht="15" hidden="false" customHeight="false" outlineLevel="0" collapsed="false">
      <c r="A12" s="12" t="s">
        <v>12</v>
      </c>
      <c r="B12" s="12" t="n">
        <f aca="false">COUNTIF(Requis!$I$2:$I$65,0)</f>
        <v>0</v>
      </c>
      <c r="C12" s="13"/>
    </row>
    <row r="13" customFormat="false" ht="15" hidden="false" customHeight="false" outlineLevel="0" collapsed="false">
      <c r="A13" s="12" t="s">
        <v>13</v>
      </c>
      <c r="B13" s="12" t="n">
        <f aca="false">COUNTA('Commentaires Sébastien'!$A$2:$A$5)</f>
        <v>4</v>
      </c>
      <c r="C13" s="13"/>
    </row>
    <row r="14" customFormat="false" ht="15" hidden="false" customHeight="false" outlineLevel="0" collapsed="false">
      <c r="A14" s="12" t="s">
        <v>14</v>
      </c>
      <c r="B14" s="12" t="n">
        <f aca="false">COUNTA('Points ouverts'!$A$2:$A$18)</f>
        <v>17</v>
      </c>
      <c r="C14" s="13"/>
    </row>
    <row r="15" customFormat="false" ht="15" hidden="false" customHeight="false" outlineLevel="0" collapsed="false">
      <c r="A15" s="12" t="s">
        <v>15</v>
      </c>
      <c r="B15" s="12" t="n">
        <f aca="false">COUNTA(Tests!$C$2:$C$132)</f>
        <v>131</v>
      </c>
      <c r="C15" s="13"/>
    </row>
    <row r="16" customFormat="false" ht="15" hidden="false" customHeight="false" outlineLevel="0" collapsed="false">
      <c r="A16" s="12" t="s">
        <v>16</v>
      </c>
      <c r="B16" s="12" t="n">
        <f aca="false">COUNTA(Programmes!$A$2:$A$46)</f>
        <v>45</v>
      </c>
      <c r="C16" s="13"/>
    </row>
    <row r="18" customFormat="false" ht="15" hidden="false" customHeight="false" outlineLevel="0" collapsed="false">
      <c r="A18" s="14" t="s">
        <v>17</v>
      </c>
    </row>
    <row r="19" customFormat="false" ht="23.85" hidden="false" customHeight="false" outlineLevel="0" collapsed="false">
      <c r="A19" s="15" t="s">
        <v>18</v>
      </c>
      <c r="B19" s="15" t="s">
        <v>5</v>
      </c>
      <c r="C19" s="15" t="s">
        <v>6</v>
      </c>
      <c r="D19" s="15" t="s">
        <v>7</v>
      </c>
      <c r="E19" s="15" t="s">
        <v>8</v>
      </c>
      <c r="F19" s="15" t="s">
        <v>9</v>
      </c>
    </row>
    <row r="20" customFormat="false" ht="15" hidden="false" customHeight="false" outlineLevel="0" collapsed="false">
      <c r="A20" s="5" t="s">
        <v>19</v>
      </c>
      <c r="B20" s="5" t="n">
        <f aca="false">COUNTIFS(Requis!$A:$A,$A20,Requis!$J:$J,B$19)</f>
        <v>6</v>
      </c>
      <c r="C20" s="5" t="n">
        <f aca="false">COUNTIFS(Requis!$A:$A,$A20,Requis!$J:$J,C$19)</f>
        <v>0</v>
      </c>
      <c r="D20" s="5" t="n">
        <f aca="false">COUNTIFS(Requis!$A:$A,$A20,Requis!$J:$J,D$19)</f>
        <v>0</v>
      </c>
      <c r="E20" s="5" t="n">
        <f aca="false">COUNTIFS(Requis!$A:$A,$A20,Requis!$J:$J,E$19)</f>
        <v>0</v>
      </c>
      <c r="F20" s="5" t="n">
        <f aca="false">SUM(B20:E20)</f>
        <v>6</v>
      </c>
    </row>
    <row r="21" customFormat="false" ht="15" hidden="false" customHeight="false" outlineLevel="0" collapsed="false">
      <c r="A21" s="5" t="s">
        <v>20</v>
      </c>
      <c r="B21" s="5" t="n">
        <f aca="false">COUNTIFS(Requis!$A:$A,$A21,Requis!$J:$J,B$19)</f>
        <v>2</v>
      </c>
      <c r="C21" s="5" t="n">
        <f aca="false">COUNTIFS(Requis!$A:$A,$A21,Requis!$J:$J,C$19)</f>
        <v>1</v>
      </c>
      <c r="D21" s="5" t="n">
        <f aca="false">COUNTIFS(Requis!$A:$A,$A21,Requis!$J:$J,D$19)</f>
        <v>0</v>
      </c>
      <c r="E21" s="5" t="n">
        <f aca="false">COUNTIFS(Requis!$A:$A,$A21,Requis!$J:$J,E$19)</f>
        <v>0</v>
      </c>
      <c r="F21" s="5" t="n">
        <f aca="false">SUM(B21:E21)</f>
        <v>3</v>
      </c>
    </row>
    <row r="22" customFormat="false" ht="15" hidden="false" customHeight="false" outlineLevel="0" collapsed="false">
      <c r="A22" s="5" t="s">
        <v>21</v>
      </c>
      <c r="B22" s="5" t="n">
        <f aca="false">COUNTIFS(Requis!$A:$A,$A22,Requis!$J:$J,B$19)</f>
        <v>7</v>
      </c>
      <c r="C22" s="5" t="n">
        <f aca="false">COUNTIFS(Requis!$A:$A,$A22,Requis!$J:$J,C$19)</f>
        <v>4</v>
      </c>
      <c r="D22" s="5" t="n">
        <f aca="false">COUNTIFS(Requis!$A:$A,$A22,Requis!$J:$J,D$19)</f>
        <v>0</v>
      </c>
      <c r="E22" s="5" t="n">
        <f aca="false">COUNTIFS(Requis!$A:$A,$A22,Requis!$J:$J,E$19)</f>
        <v>0</v>
      </c>
      <c r="F22" s="5" t="n">
        <f aca="false">SUM(B22:E22)</f>
        <v>11</v>
      </c>
    </row>
    <row r="23" customFormat="false" ht="15" hidden="false" customHeight="false" outlineLevel="0" collapsed="false">
      <c r="A23" s="5" t="s">
        <v>22</v>
      </c>
      <c r="B23" s="5" t="n">
        <f aca="false">COUNTIFS(Requis!$A:$A,$A23,Requis!$J:$J,B$19)</f>
        <v>6</v>
      </c>
      <c r="C23" s="5" t="n">
        <f aca="false">COUNTIFS(Requis!$A:$A,$A23,Requis!$J:$J,C$19)</f>
        <v>1</v>
      </c>
      <c r="D23" s="5" t="n">
        <f aca="false">COUNTIFS(Requis!$A:$A,$A23,Requis!$J:$J,D$19)</f>
        <v>0</v>
      </c>
      <c r="E23" s="5" t="n">
        <f aca="false">COUNTIFS(Requis!$A:$A,$A23,Requis!$J:$J,E$19)</f>
        <v>1</v>
      </c>
      <c r="F23" s="5" t="n">
        <f aca="false">SUM(B23:E23)</f>
        <v>8</v>
      </c>
    </row>
    <row r="24" customFormat="false" ht="15" hidden="false" customHeight="false" outlineLevel="0" collapsed="false">
      <c r="A24" s="5" t="s">
        <v>23</v>
      </c>
      <c r="B24" s="5" t="n">
        <f aca="false">COUNTIFS(Requis!$A:$A,$A24,Requis!$J:$J,B$19)</f>
        <v>5</v>
      </c>
      <c r="C24" s="5" t="n">
        <f aca="false">COUNTIFS(Requis!$A:$A,$A24,Requis!$J:$J,C$19)</f>
        <v>2</v>
      </c>
      <c r="D24" s="5" t="n">
        <f aca="false">COUNTIFS(Requis!$A:$A,$A24,Requis!$J:$J,D$19)</f>
        <v>0</v>
      </c>
      <c r="E24" s="5" t="n">
        <f aca="false">COUNTIFS(Requis!$A:$A,$A24,Requis!$J:$J,E$19)</f>
        <v>1</v>
      </c>
      <c r="F24" s="5" t="n">
        <f aca="false">SUM(B24:E24)</f>
        <v>8</v>
      </c>
    </row>
    <row r="25" customFormat="false" ht="15" hidden="false" customHeight="false" outlineLevel="0" collapsed="false">
      <c r="A25" s="5" t="s">
        <v>24</v>
      </c>
      <c r="B25" s="5" t="n">
        <f aca="false">COUNTIFS(Requis!$A:$A,$A25,Requis!$J:$J,B$19)</f>
        <v>7</v>
      </c>
      <c r="C25" s="5" t="n">
        <f aca="false">COUNTIFS(Requis!$A:$A,$A25,Requis!$J:$J,C$19)</f>
        <v>0</v>
      </c>
      <c r="D25" s="5" t="n">
        <f aca="false">COUNTIFS(Requis!$A:$A,$A25,Requis!$J:$J,D$19)</f>
        <v>0</v>
      </c>
      <c r="E25" s="5" t="n">
        <f aca="false">COUNTIFS(Requis!$A:$A,$A25,Requis!$J:$J,E$19)</f>
        <v>0</v>
      </c>
      <c r="F25" s="5" t="n">
        <f aca="false">SUM(B25:E25)</f>
        <v>7</v>
      </c>
    </row>
    <row r="26" customFormat="false" ht="15" hidden="false" customHeight="false" outlineLevel="0" collapsed="false">
      <c r="A26" s="5" t="s">
        <v>25</v>
      </c>
      <c r="B26" s="5" t="n">
        <f aca="false">COUNTIFS(Requis!$A:$A,$A26,Requis!$J:$J,B$19)</f>
        <v>3</v>
      </c>
      <c r="C26" s="5" t="n">
        <f aca="false">COUNTIFS(Requis!$A:$A,$A26,Requis!$J:$J,C$19)</f>
        <v>1</v>
      </c>
      <c r="D26" s="5" t="n">
        <f aca="false">COUNTIFS(Requis!$A:$A,$A26,Requis!$J:$J,D$19)</f>
        <v>0</v>
      </c>
      <c r="E26" s="5" t="n">
        <f aca="false">COUNTIFS(Requis!$A:$A,$A26,Requis!$J:$J,E$19)</f>
        <v>0</v>
      </c>
      <c r="F26" s="5" t="n">
        <f aca="false">SUM(B26:E26)</f>
        <v>4</v>
      </c>
    </row>
    <row r="27" customFormat="false" ht="15" hidden="false" customHeight="false" outlineLevel="0" collapsed="false">
      <c r="A27" s="5" t="s">
        <v>26</v>
      </c>
      <c r="B27" s="5" t="n">
        <f aca="false">COUNTIFS(Requis!$A:$A,$A27,Requis!$J:$J,B$19)</f>
        <v>1</v>
      </c>
      <c r="C27" s="5" t="n">
        <f aca="false">COUNTIFS(Requis!$A:$A,$A27,Requis!$J:$J,C$19)</f>
        <v>0</v>
      </c>
      <c r="D27" s="5" t="n">
        <f aca="false">COUNTIFS(Requis!$A:$A,$A27,Requis!$J:$J,D$19)</f>
        <v>0</v>
      </c>
      <c r="E27" s="5" t="n">
        <f aca="false">COUNTIFS(Requis!$A:$A,$A27,Requis!$J:$J,E$19)</f>
        <v>0</v>
      </c>
      <c r="F27" s="5" t="n">
        <f aca="false">SUM(B27:E27)</f>
        <v>1</v>
      </c>
    </row>
    <row r="28" customFormat="false" ht="15" hidden="false" customHeight="false" outlineLevel="0" collapsed="false">
      <c r="A28" s="5" t="s">
        <v>27</v>
      </c>
      <c r="B28" s="5" t="n">
        <f aca="false">COUNTIFS(Requis!$A:$A,$A28,Requis!$J:$J,B$19)</f>
        <v>7</v>
      </c>
      <c r="C28" s="5" t="n">
        <f aca="false">COUNTIFS(Requis!$A:$A,$A28,Requis!$J:$J,C$19)</f>
        <v>2</v>
      </c>
      <c r="D28" s="5" t="n">
        <f aca="false">COUNTIFS(Requis!$A:$A,$A28,Requis!$J:$J,D$19)</f>
        <v>0</v>
      </c>
      <c r="E28" s="5" t="n">
        <f aca="false">COUNTIFS(Requis!$A:$A,$A28,Requis!$J:$J,E$19)</f>
        <v>0</v>
      </c>
      <c r="F28" s="5" t="n">
        <f aca="false">SUM(B28:E28)</f>
        <v>9</v>
      </c>
    </row>
    <row r="29" customFormat="false" ht="15" hidden="false" customHeight="false" outlineLevel="0" collapsed="false">
      <c r="A29" s="5" t="s">
        <v>28</v>
      </c>
      <c r="B29" s="5" t="n">
        <f aca="false">COUNTIFS(Requis!$A:$A,$A29,Requis!$J:$J,B$19)</f>
        <v>0</v>
      </c>
      <c r="C29" s="5" t="n">
        <f aca="false">COUNTIFS(Requis!$A:$A,$A29,Requis!$J:$J,C$19)</f>
        <v>0</v>
      </c>
      <c r="D29" s="5" t="n">
        <f aca="false">COUNTIFS(Requis!$A:$A,$A29,Requis!$J:$J,D$19)</f>
        <v>1</v>
      </c>
      <c r="E29" s="5" t="n">
        <f aca="false">COUNTIFS(Requis!$A:$A,$A29,Requis!$J:$J,E$19)</f>
        <v>0</v>
      </c>
      <c r="F29" s="5" t="n">
        <f aca="false">SUM(B29:E29)</f>
        <v>1</v>
      </c>
    </row>
    <row r="30" customFormat="false" ht="15" hidden="false" customHeight="false" outlineLevel="0" collapsed="false">
      <c r="A30" s="5" t="s">
        <v>29</v>
      </c>
      <c r="B30" s="5" t="n">
        <f aca="false">COUNTIFS(Requis!$A:$A,$A30,Requis!$J:$J,B$19)</f>
        <v>5</v>
      </c>
      <c r="C30" s="5" t="n">
        <f aca="false">COUNTIFS(Requis!$A:$A,$A30,Requis!$J:$J,C$19)</f>
        <v>1</v>
      </c>
      <c r="D30" s="5" t="n">
        <f aca="false">COUNTIFS(Requis!$A:$A,$A30,Requis!$J:$J,D$19)</f>
        <v>0</v>
      </c>
      <c r="E30" s="5" t="n">
        <f aca="false">COUNTIFS(Requis!$A:$A,$A30,Requis!$J:$J,E$19)</f>
        <v>0</v>
      </c>
      <c r="F30" s="5" t="n">
        <f aca="false">SUM(B30:E30)</f>
        <v>6</v>
      </c>
    </row>
    <row r="31" customFormat="false" ht="15" hidden="false" customHeight="false" outlineLevel="0" collapsed="false">
      <c r="A31" s="10" t="s">
        <v>9</v>
      </c>
      <c r="B31" s="10" t="n">
        <f aca="false">SUM(B20:B30)</f>
        <v>49</v>
      </c>
      <c r="C31" s="10" t="n">
        <f aca="false">SUM(C20:C30)</f>
        <v>12</v>
      </c>
      <c r="D31" s="10" t="n">
        <f aca="false">SUM(D20:D30)</f>
        <v>1</v>
      </c>
      <c r="E31" s="10" t="n">
        <f aca="false">SUM(E20:E30)</f>
        <v>2</v>
      </c>
      <c r="F31" s="10" t="n">
        <f aca="false">SUM(F20:F30)</f>
        <v>64</v>
      </c>
    </row>
    <row r="33" customFormat="false" ht="15" hidden="false" customHeight="false" outlineLevel="0" collapsed="false">
      <c r="A33" s="16" t="s">
        <v>30</v>
      </c>
    </row>
    <row r="34" customFormat="false" ht="15" hidden="false" customHeight="false" outlineLevel="0" collapsed="false">
      <c r="A34" s="17" t="s">
        <v>31</v>
      </c>
    </row>
    <row r="35" customFormat="false" ht="15" hidden="false" customHeight="false" outlineLevel="0" collapsed="false">
      <c r="A35" s="17" t="s">
        <v>32</v>
      </c>
    </row>
    <row r="36" customFormat="false" ht="15" hidden="false" customHeight="false" outlineLevel="0" collapsed="false">
      <c r="A36" s="17" t="s">
        <v>33</v>
      </c>
    </row>
    <row r="37" customFormat="false" ht="15" hidden="false" customHeight="false" outlineLevel="0" collapsed="false">
      <c r="A37" s="17" t="s">
        <v>34</v>
      </c>
    </row>
    <row r="38" customFormat="false" ht="15" hidden="false" customHeight="false" outlineLevel="0" collapsed="false">
      <c r="A38" s="17" t="s">
        <v>35</v>
      </c>
    </row>
    <row r="39" customFormat="false" ht="15" hidden="false" customHeight="false" outlineLevel="0" collapsed="false">
      <c r="A39" s="17" t="s">
        <v>36</v>
      </c>
    </row>
    <row r="40" customFormat="false" ht="15" hidden="false" customHeight="false" outlineLevel="0" collapsed="false">
      <c r="A40" s="17" t="s">
        <v>37</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6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3" min="3" style="0" width="38"/>
    <col collapsed="false" customWidth="true" hidden="false" outlineLevel="0" max="4" min="4" style="0" width="34"/>
    <col collapsed="false" customWidth="true" hidden="false" outlineLevel="0" max="5" min="5" style="0" width="30"/>
    <col collapsed="false" customWidth="true" hidden="false" outlineLevel="0" max="6" min="6" style="0" width="60"/>
    <col collapsed="false" customWidth="true" hidden="false" outlineLevel="0" max="7" min="7" style="0" width="34"/>
    <col collapsed="false" customWidth="true" hidden="false" outlineLevel="0" max="8" min="8" style="0" width="46"/>
    <col collapsed="false" customWidth="true" hidden="false" outlineLevel="0" max="9" min="9" style="0" width="8"/>
    <col collapsed="false" customWidth="true" hidden="false" outlineLevel="0" max="10" min="10" style="0" width="17"/>
    <col collapsed="false" customWidth="true" hidden="false" outlineLevel="0" max="11" min="11" style="0" width="30"/>
    <col collapsed="false" customWidth="true" hidden="false" outlineLevel="0" max="12" min="12" style="0" width="12"/>
  </cols>
  <sheetData>
    <row r="1" customFormat="false" ht="31.5" hidden="false" customHeight="true" outlineLevel="0" collapsed="false">
      <c r="A1" s="18" t="s">
        <v>38</v>
      </c>
      <c r="B1" s="18" t="s">
        <v>39</v>
      </c>
      <c r="C1" s="18" t="s">
        <v>40</v>
      </c>
      <c r="D1" s="18" t="s">
        <v>41</v>
      </c>
      <c r="E1" s="18" t="s">
        <v>42</v>
      </c>
      <c r="F1" s="18" t="s">
        <v>43</v>
      </c>
      <c r="G1" s="18" t="s">
        <v>44</v>
      </c>
      <c r="H1" s="18" t="s">
        <v>45</v>
      </c>
      <c r="I1" s="18" t="s">
        <v>46</v>
      </c>
      <c r="J1" s="18" t="s">
        <v>2</v>
      </c>
      <c r="K1" s="18" t="s">
        <v>47</v>
      </c>
      <c r="L1" s="18" t="s">
        <v>48</v>
      </c>
    </row>
    <row r="2" customFormat="false" ht="32.8" hidden="false" customHeight="false" outlineLevel="0" collapsed="false">
      <c r="A2" s="19" t="s">
        <v>19</v>
      </c>
      <c r="B2" s="19" t="s">
        <v>49</v>
      </c>
      <c r="C2" s="19" t="s">
        <v>50</v>
      </c>
      <c r="D2" s="19"/>
      <c r="E2" s="19" t="s">
        <v>51</v>
      </c>
      <c r="F2" s="19" t="s">
        <v>52</v>
      </c>
      <c r="G2" s="19" t="s">
        <v>53</v>
      </c>
      <c r="H2" s="19" t="s">
        <v>54</v>
      </c>
      <c r="I2" s="19" t="n">
        <v>1</v>
      </c>
      <c r="J2" s="19" t="s">
        <v>5</v>
      </c>
      <c r="K2" s="19" t="s">
        <v>5</v>
      </c>
      <c r="L2" s="19"/>
    </row>
    <row r="3" customFormat="false" ht="22.35" hidden="false" customHeight="false" outlineLevel="0" collapsed="false">
      <c r="A3" s="19" t="s">
        <v>19</v>
      </c>
      <c r="B3" s="19" t="s">
        <v>55</v>
      </c>
      <c r="C3" s="19" t="s">
        <v>56</v>
      </c>
      <c r="D3" s="19"/>
      <c r="E3" s="19" t="s">
        <v>57</v>
      </c>
      <c r="F3" s="19" t="s">
        <v>58</v>
      </c>
      <c r="G3" s="19" t="s">
        <v>59</v>
      </c>
      <c r="H3" s="19" t="s">
        <v>60</v>
      </c>
      <c r="I3" s="19" t="n">
        <v>1</v>
      </c>
      <c r="J3" s="19" t="s">
        <v>5</v>
      </c>
      <c r="K3" s="19" t="s">
        <v>5</v>
      </c>
      <c r="L3" s="19"/>
    </row>
    <row r="4" customFormat="false" ht="22.35" hidden="false" customHeight="false" outlineLevel="0" collapsed="false">
      <c r="A4" s="19" t="s">
        <v>19</v>
      </c>
      <c r="B4" s="19" t="s">
        <v>61</v>
      </c>
      <c r="C4" s="19" t="s">
        <v>62</v>
      </c>
      <c r="D4" s="19"/>
      <c r="E4" s="19" t="s">
        <v>63</v>
      </c>
      <c r="F4" s="19" t="s">
        <v>64</v>
      </c>
      <c r="G4" s="19" t="s">
        <v>65</v>
      </c>
      <c r="H4" s="19" t="s">
        <v>66</v>
      </c>
      <c r="I4" s="19" t="n">
        <v>2</v>
      </c>
      <c r="J4" s="19" t="s">
        <v>5</v>
      </c>
      <c r="K4" s="19" t="s">
        <v>5</v>
      </c>
      <c r="L4" s="19"/>
    </row>
    <row r="5" customFormat="false" ht="22.35" hidden="false" customHeight="false" outlineLevel="0" collapsed="false">
      <c r="A5" s="19" t="s">
        <v>19</v>
      </c>
      <c r="B5" s="19" t="s">
        <v>67</v>
      </c>
      <c r="C5" s="19" t="s">
        <v>68</v>
      </c>
      <c r="D5" s="19"/>
      <c r="E5" s="19" t="s">
        <v>69</v>
      </c>
      <c r="F5" s="19" t="s">
        <v>70</v>
      </c>
      <c r="G5" s="19" t="s">
        <v>71</v>
      </c>
      <c r="H5" s="19" t="s">
        <v>60</v>
      </c>
      <c r="I5" s="19" t="n">
        <v>1</v>
      </c>
      <c r="J5" s="19" t="s">
        <v>5</v>
      </c>
      <c r="K5" s="19" t="s">
        <v>5</v>
      </c>
      <c r="L5" s="19"/>
    </row>
    <row r="6" customFormat="false" ht="53.7" hidden="false" customHeight="false" outlineLevel="0" collapsed="false">
      <c r="A6" s="19" t="s">
        <v>19</v>
      </c>
      <c r="B6" s="19" t="s">
        <v>72</v>
      </c>
      <c r="C6" s="19" t="s">
        <v>73</v>
      </c>
      <c r="D6" s="19"/>
      <c r="E6" s="19" t="s">
        <v>74</v>
      </c>
      <c r="F6" s="19" t="s">
        <v>75</v>
      </c>
      <c r="G6" s="19" t="s">
        <v>76</v>
      </c>
      <c r="H6" s="19" t="s">
        <v>77</v>
      </c>
      <c r="I6" s="19" t="n">
        <v>4</v>
      </c>
      <c r="J6" s="19" t="s">
        <v>5</v>
      </c>
      <c r="K6" s="19" t="s">
        <v>5</v>
      </c>
      <c r="L6" s="19"/>
    </row>
    <row r="7" customFormat="false" ht="22.35" hidden="false" customHeight="false" outlineLevel="0" collapsed="false">
      <c r="A7" s="19" t="s">
        <v>19</v>
      </c>
      <c r="B7" s="19" t="s">
        <v>78</v>
      </c>
      <c r="C7" s="19" t="s">
        <v>79</v>
      </c>
      <c r="D7" s="19"/>
      <c r="E7" s="19" t="s">
        <v>80</v>
      </c>
      <c r="F7" s="19" t="s">
        <v>81</v>
      </c>
      <c r="G7" s="19" t="s">
        <v>82</v>
      </c>
      <c r="H7" s="19" t="s">
        <v>83</v>
      </c>
      <c r="I7" s="19" t="n">
        <v>2</v>
      </c>
      <c r="J7" s="19" t="s">
        <v>5</v>
      </c>
      <c r="K7" s="19" t="s">
        <v>5</v>
      </c>
      <c r="L7" s="19"/>
    </row>
    <row r="8" customFormat="false" ht="15" hidden="false" customHeight="false" outlineLevel="0" collapsed="false">
      <c r="A8" s="19" t="s">
        <v>20</v>
      </c>
      <c r="B8" s="19" t="s">
        <v>84</v>
      </c>
      <c r="C8" s="19" t="s">
        <v>85</v>
      </c>
      <c r="D8" s="19"/>
      <c r="E8" s="19" t="s">
        <v>86</v>
      </c>
      <c r="F8" s="19" t="s">
        <v>87</v>
      </c>
      <c r="G8" s="19" t="s">
        <v>88</v>
      </c>
      <c r="H8" s="19" t="s">
        <v>89</v>
      </c>
      <c r="I8" s="19" t="n">
        <v>1</v>
      </c>
      <c r="J8" s="19" t="s">
        <v>5</v>
      </c>
      <c r="K8" s="19" t="s">
        <v>5</v>
      </c>
      <c r="L8" s="19"/>
    </row>
    <row r="9" customFormat="false" ht="22.35" hidden="false" customHeight="false" outlineLevel="0" collapsed="false">
      <c r="A9" s="19" t="s">
        <v>20</v>
      </c>
      <c r="B9" s="19" t="s">
        <v>90</v>
      </c>
      <c r="C9" s="19" t="s">
        <v>91</v>
      </c>
      <c r="D9" s="19"/>
      <c r="E9" s="19" t="s">
        <v>92</v>
      </c>
      <c r="F9" s="19" t="s">
        <v>93</v>
      </c>
      <c r="G9" s="19" t="s">
        <v>94</v>
      </c>
      <c r="H9" s="19" t="s">
        <v>89</v>
      </c>
      <c r="I9" s="19" t="n">
        <v>1</v>
      </c>
      <c r="J9" s="19" t="s">
        <v>5</v>
      </c>
      <c r="K9" s="19" t="s">
        <v>5</v>
      </c>
      <c r="L9" s="19" t="s">
        <v>95</v>
      </c>
    </row>
    <row r="10" customFormat="false" ht="22.35" hidden="false" customHeight="false" outlineLevel="0" collapsed="false">
      <c r="A10" s="19" t="s">
        <v>20</v>
      </c>
      <c r="B10" s="19" t="s">
        <v>96</v>
      </c>
      <c r="C10" s="19" t="s">
        <v>97</v>
      </c>
      <c r="D10" s="19"/>
      <c r="E10" s="19" t="s">
        <v>98</v>
      </c>
      <c r="F10" s="19" t="s">
        <v>99</v>
      </c>
      <c r="G10" s="19" t="s">
        <v>100</v>
      </c>
      <c r="H10" s="19" t="s">
        <v>101</v>
      </c>
      <c r="I10" s="19" t="n">
        <v>2</v>
      </c>
      <c r="J10" s="19" t="s">
        <v>6</v>
      </c>
      <c r="K10" s="19" t="s">
        <v>102</v>
      </c>
      <c r="L10" s="19" t="s">
        <v>95</v>
      </c>
    </row>
    <row r="11" customFormat="false" ht="22.35" hidden="false" customHeight="false" outlineLevel="0" collapsed="false">
      <c r="A11" s="19" t="s">
        <v>21</v>
      </c>
      <c r="B11" s="19" t="s">
        <v>103</v>
      </c>
      <c r="C11" s="19" t="s">
        <v>104</v>
      </c>
      <c r="D11" s="19"/>
      <c r="E11" s="19" t="s">
        <v>105</v>
      </c>
      <c r="F11" s="19" t="s">
        <v>106</v>
      </c>
      <c r="G11" s="19" t="s">
        <v>107</v>
      </c>
      <c r="H11" s="19" t="s">
        <v>108</v>
      </c>
      <c r="I11" s="19" t="n">
        <v>1</v>
      </c>
      <c r="J11" s="19" t="s">
        <v>5</v>
      </c>
      <c r="K11" s="19" t="s">
        <v>5</v>
      </c>
      <c r="L11" s="19"/>
    </row>
    <row r="12" customFormat="false" ht="74.6" hidden="false" customHeight="false" outlineLevel="0" collapsed="false">
      <c r="A12" s="19" t="s">
        <v>21</v>
      </c>
      <c r="B12" s="19" t="s">
        <v>109</v>
      </c>
      <c r="C12" s="19" t="s">
        <v>110</v>
      </c>
      <c r="D12" s="19"/>
      <c r="E12" s="19" t="s">
        <v>111</v>
      </c>
      <c r="F12" s="19" t="s">
        <v>112</v>
      </c>
      <c r="G12" s="19" t="s">
        <v>113</v>
      </c>
      <c r="H12" s="19" t="s">
        <v>114</v>
      </c>
      <c r="I12" s="19" t="n">
        <v>5</v>
      </c>
      <c r="J12" s="19" t="s">
        <v>5</v>
      </c>
      <c r="K12" s="19" t="s">
        <v>5</v>
      </c>
      <c r="L12" s="19" t="s">
        <v>115</v>
      </c>
    </row>
    <row r="13" customFormat="false" ht="64.15" hidden="false" customHeight="false" outlineLevel="0" collapsed="false">
      <c r="A13" s="19" t="s">
        <v>21</v>
      </c>
      <c r="B13" s="19" t="s">
        <v>116</v>
      </c>
      <c r="C13" s="19" t="s">
        <v>117</v>
      </c>
      <c r="D13" s="19"/>
      <c r="E13" s="19" t="s">
        <v>118</v>
      </c>
      <c r="F13" s="19" t="s">
        <v>119</v>
      </c>
      <c r="G13" s="19" t="s">
        <v>120</v>
      </c>
      <c r="H13" s="19" t="s">
        <v>121</v>
      </c>
      <c r="I13" s="19" t="n">
        <v>4</v>
      </c>
      <c r="J13" s="19" t="s">
        <v>6</v>
      </c>
      <c r="K13" s="19" t="s">
        <v>122</v>
      </c>
      <c r="L13" s="19"/>
    </row>
    <row r="14" customFormat="false" ht="32.8" hidden="false" customHeight="false" outlineLevel="0" collapsed="false">
      <c r="A14" s="19" t="s">
        <v>21</v>
      </c>
      <c r="B14" s="19" t="s">
        <v>123</v>
      </c>
      <c r="C14" s="19" t="s">
        <v>124</v>
      </c>
      <c r="D14" s="19"/>
      <c r="E14" s="19" t="s">
        <v>125</v>
      </c>
      <c r="F14" s="19" t="s">
        <v>126</v>
      </c>
      <c r="G14" s="19" t="s">
        <v>127</v>
      </c>
      <c r="H14" s="19" t="s">
        <v>128</v>
      </c>
      <c r="I14" s="19" t="n">
        <v>2</v>
      </c>
      <c r="J14" s="19" t="s">
        <v>5</v>
      </c>
      <c r="K14" s="19" t="s">
        <v>5</v>
      </c>
      <c r="L14" s="19"/>
    </row>
    <row r="15" customFormat="false" ht="22.35" hidden="false" customHeight="false" outlineLevel="0" collapsed="false">
      <c r="A15" s="19" t="s">
        <v>21</v>
      </c>
      <c r="B15" s="19" t="s">
        <v>129</v>
      </c>
      <c r="C15" s="19" t="s">
        <v>130</v>
      </c>
      <c r="D15" s="19"/>
      <c r="E15" s="19" t="s">
        <v>131</v>
      </c>
      <c r="F15" s="19" t="s">
        <v>132</v>
      </c>
      <c r="G15" s="19" t="s">
        <v>133</v>
      </c>
      <c r="H15" s="19" t="s">
        <v>134</v>
      </c>
      <c r="I15" s="19" t="n">
        <v>1</v>
      </c>
      <c r="J15" s="19" t="s">
        <v>5</v>
      </c>
      <c r="K15" s="19" t="s">
        <v>5</v>
      </c>
      <c r="L15" s="19"/>
    </row>
    <row r="16" customFormat="false" ht="32.8" hidden="false" customHeight="false" outlineLevel="0" collapsed="false">
      <c r="A16" s="19" t="s">
        <v>21</v>
      </c>
      <c r="B16" s="19" t="s">
        <v>135</v>
      </c>
      <c r="C16" s="19" t="s">
        <v>136</v>
      </c>
      <c r="D16" s="20" t="s">
        <v>137</v>
      </c>
      <c r="E16" s="19" t="s">
        <v>138</v>
      </c>
      <c r="F16" s="19" t="s">
        <v>139</v>
      </c>
      <c r="G16" s="19" t="s">
        <v>140</v>
      </c>
      <c r="H16" s="19" t="s">
        <v>141</v>
      </c>
      <c r="I16" s="19" t="n">
        <v>2</v>
      </c>
      <c r="J16" s="19" t="s">
        <v>6</v>
      </c>
      <c r="K16" s="19" t="s">
        <v>142</v>
      </c>
      <c r="L16" s="19" t="s">
        <v>143</v>
      </c>
    </row>
    <row r="17" customFormat="false" ht="53.7" hidden="false" customHeight="false" outlineLevel="0" collapsed="false">
      <c r="A17" s="19" t="s">
        <v>21</v>
      </c>
      <c r="B17" s="19" t="s">
        <v>144</v>
      </c>
      <c r="C17" s="19" t="s">
        <v>145</v>
      </c>
      <c r="D17" s="19"/>
      <c r="E17" s="19" t="s">
        <v>146</v>
      </c>
      <c r="F17" s="19" t="s">
        <v>147</v>
      </c>
      <c r="G17" s="19" t="s">
        <v>148</v>
      </c>
      <c r="H17" s="19" t="s">
        <v>149</v>
      </c>
      <c r="I17" s="19" t="n">
        <v>3</v>
      </c>
      <c r="J17" s="19" t="s">
        <v>5</v>
      </c>
      <c r="K17" s="19" t="s">
        <v>5</v>
      </c>
      <c r="L17" s="19"/>
    </row>
    <row r="18" customFormat="false" ht="64.15" hidden="false" customHeight="false" outlineLevel="0" collapsed="false">
      <c r="A18" s="19" t="s">
        <v>21</v>
      </c>
      <c r="B18" s="19" t="s">
        <v>150</v>
      </c>
      <c r="C18" s="19" t="s">
        <v>151</v>
      </c>
      <c r="D18" s="19"/>
      <c r="E18" s="19" t="s">
        <v>152</v>
      </c>
      <c r="F18" s="19" t="s">
        <v>153</v>
      </c>
      <c r="G18" s="19" t="s">
        <v>154</v>
      </c>
      <c r="H18" s="19" t="s">
        <v>155</v>
      </c>
      <c r="I18" s="19" t="n">
        <v>6</v>
      </c>
      <c r="J18" s="19" t="s">
        <v>6</v>
      </c>
      <c r="K18" s="19" t="s">
        <v>156</v>
      </c>
      <c r="L18" s="19" t="s">
        <v>157</v>
      </c>
    </row>
    <row r="19" customFormat="false" ht="43.25" hidden="false" customHeight="false" outlineLevel="0" collapsed="false">
      <c r="A19" s="19" t="s">
        <v>21</v>
      </c>
      <c r="B19" s="19" t="s">
        <v>158</v>
      </c>
      <c r="C19" s="19" t="s">
        <v>159</v>
      </c>
      <c r="D19" s="19"/>
      <c r="E19" s="19" t="s">
        <v>160</v>
      </c>
      <c r="F19" s="19" t="s">
        <v>161</v>
      </c>
      <c r="G19" s="19" t="s">
        <v>162</v>
      </c>
      <c r="H19" s="19" t="s">
        <v>163</v>
      </c>
      <c r="I19" s="19" t="n">
        <v>3</v>
      </c>
      <c r="J19" s="19" t="s">
        <v>5</v>
      </c>
      <c r="K19" s="19" t="s">
        <v>5</v>
      </c>
      <c r="L19" s="19"/>
    </row>
    <row r="20" customFormat="false" ht="22.35" hidden="false" customHeight="false" outlineLevel="0" collapsed="false">
      <c r="A20" s="19" t="s">
        <v>21</v>
      </c>
      <c r="B20" s="19" t="s">
        <v>164</v>
      </c>
      <c r="C20" s="19" t="s">
        <v>165</v>
      </c>
      <c r="D20" s="19"/>
      <c r="E20" s="19" t="s">
        <v>166</v>
      </c>
      <c r="F20" s="19" t="s">
        <v>167</v>
      </c>
      <c r="G20" s="19" t="s">
        <v>162</v>
      </c>
      <c r="H20" s="19" t="s">
        <v>168</v>
      </c>
      <c r="I20" s="19" t="n">
        <v>1</v>
      </c>
      <c r="J20" s="19" t="s">
        <v>5</v>
      </c>
      <c r="K20" s="19" t="s">
        <v>5</v>
      </c>
      <c r="L20" s="19"/>
    </row>
    <row r="21" customFormat="false" ht="32.8" hidden="false" customHeight="false" outlineLevel="0" collapsed="false">
      <c r="A21" s="19" t="s">
        <v>21</v>
      </c>
      <c r="B21" s="19" t="s">
        <v>169</v>
      </c>
      <c r="C21" s="19" t="s">
        <v>170</v>
      </c>
      <c r="D21" s="19"/>
      <c r="E21" s="19" t="s">
        <v>171</v>
      </c>
      <c r="F21" s="19" t="s">
        <v>172</v>
      </c>
      <c r="G21" s="19" t="s">
        <v>173</v>
      </c>
      <c r="H21" s="19" t="s">
        <v>174</v>
      </c>
      <c r="I21" s="19" t="n">
        <v>1</v>
      </c>
      <c r="J21" s="19" t="s">
        <v>6</v>
      </c>
      <c r="K21" s="19" t="s">
        <v>175</v>
      </c>
      <c r="L21" s="19" t="s">
        <v>176</v>
      </c>
    </row>
    <row r="22" customFormat="false" ht="32.8" hidden="false" customHeight="false" outlineLevel="0" collapsed="false">
      <c r="A22" s="19" t="s">
        <v>22</v>
      </c>
      <c r="B22" s="19" t="s">
        <v>177</v>
      </c>
      <c r="C22" s="19" t="s">
        <v>178</v>
      </c>
      <c r="D22" s="20" t="s">
        <v>179</v>
      </c>
      <c r="E22" s="19" t="s">
        <v>180</v>
      </c>
      <c r="F22" s="19" t="s">
        <v>181</v>
      </c>
      <c r="G22" s="19" t="s">
        <v>182</v>
      </c>
      <c r="H22" s="19" t="s">
        <v>183</v>
      </c>
      <c r="I22" s="19" t="n">
        <v>1</v>
      </c>
      <c r="J22" s="19" t="s">
        <v>8</v>
      </c>
      <c r="K22" s="19" t="s">
        <v>184</v>
      </c>
      <c r="L22" s="19" t="s">
        <v>185</v>
      </c>
    </row>
    <row r="23" customFormat="false" ht="53.7" hidden="false" customHeight="false" outlineLevel="0" collapsed="false">
      <c r="A23" s="19" t="s">
        <v>22</v>
      </c>
      <c r="B23" s="19" t="s">
        <v>186</v>
      </c>
      <c r="C23" s="19" t="s">
        <v>187</v>
      </c>
      <c r="D23" s="20" t="s">
        <v>188</v>
      </c>
      <c r="E23" s="19" t="s">
        <v>189</v>
      </c>
      <c r="F23" s="19" t="s">
        <v>190</v>
      </c>
      <c r="G23" s="19" t="s">
        <v>191</v>
      </c>
      <c r="H23" s="19" t="s">
        <v>192</v>
      </c>
      <c r="I23" s="19" t="n">
        <v>1</v>
      </c>
      <c r="J23" s="19" t="s">
        <v>6</v>
      </c>
      <c r="K23" s="19" t="s">
        <v>193</v>
      </c>
      <c r="L23" s="19" t="s">
        <v>194</v>
      </c>
    </row>
    <row r="24" customFormat="false" ht="22.35" hidden="false" customHeight="false" outlineLevel="0" collapsed="false">
      <c r="A24" s="19" t="s">
        <v>22</v>
      </c>
      <c r="B24" s="19" t="s">
        <v>195</v>
      </c>
      <c r="C24" s="19" t="s">
        <v>196</v>
      </c>
      <c r="D24" s="19"/>
      <c r="E24" s="19" t="s">
        <v>197</v>
      </c>
      <c r="F24" s="19" t="s">
        <v>198</v>
      </c>
      <c r="G24" s="19" t="s">
        <v>199</v>
      </c>
      <c r="H24" s="19" t="s">
        <v>200</v>
      </c>
      <c r="I24" s="19" t="n">
        <v>1</v>
      </c>
      <c r="J24" s="19" t="s">
        <v>5</v>
      </c>
      <c r="K24" s="19" t="s">
        <v>5</v>
      </c>
      <c r="L24" s="19"/>
    </row>
    <row r="25" customFormat="false" ht="32.8" hidden="false" customHeight="false" outlineLevel="0" collapsed="false">
      <c r="A25" s="19" t="s">
        <v>22</v>
      </c>
      <c r="B25" s="19" t="s">
        <v>201</v>
      </c>
      <c r="C25" s="19" t="s">
        <v>202</v>
      </c>
      <c r="D25" s="19"/>
      <c r="E25" s="19" t="s">
        <v>203</v>
      </c>
      <c r="F25" s="19" t="s">
        <v>204</v>
      </c>
      <c r="G25" s="19" t="s">
        <v>205</v>
      </c>
      <c r="H25" s="19" t="s">
        <v>206</v>
      </c>
      <c r="I25" s="19" t="n">
        <v>1</v>
      </c>
      <c r="J25" s="19" t="s">
        <v>5</v>
      </c>
      <c r="K25" s="19" t="s">
        <v>5</v>
      </c>
      <c r="L25" s="19"/>
    </row>
    <row r="26" customFormat="false" ht="64.15" hidden="false" customHeight="false" outlineLevel="0" collapsed="false">
      <c r="A26" s="19" t="s">
        <v>22</v>
      </c>
      <c r="B26" s="19" t="s">
        <v>207</v>
      </c>
      <c r="C26" s="19" t="s">
        <v>208</v>
      </c>
      <c r="D26" s="20" t="s">
        <v>209</v>
      </c>
      <c r="E26" s="19" t="s">
        <v>210</v>
      </c>
      <c r="F26" s="19" t="s">
        <v>211</v>
      </c>
      <c r="G26" s="19" t="s">
        <v>212</v>
      </c>
      <c r="H26" s="19" t="s">
        <v>213</v>
      </c>
      <c r="I26" s="19" t="n">
        <v>1</v>
      </c>
      <c r="J26" s="19" t="s">
        <v>5</v>
      </c>
      <c r="K26" s="19" t="s">
        <v>5</v>
      </c>
      <c r="L26" s="19"/>
    </row>
    <row r="27" customFormat="false" ht="22.35" hidden="false" customHeight="false" outlineLevel="0" collapsed="false">
      <c r="A27" s="19" t="s">
        <v>22</v>
      </c>
      <c r="B27" s="19" t="s">
        <v>214</v>
      </c>
      <c r="C27" s="19" t="s">
        <v>215</v>
      </c>
      <c r="D27" s="19"/>
      <c r="E27" s="19" t="s">
        <v>216</v>
      </c>
      <c r="F27" s="19" t="s">
        <v>217</v>
      </c>
      <c r="G27" s="19" t="s">
        <v>218</v>
      </c>
      <c r="H27" s="19" t="s">
        <v>219</v>
      </c>
      <c r="I27" s="19" t="n">
        <v>1</v>
      </c>
      <c r="J27" s="19" t="s">
        <v>5</v>
      </c>
      <c r="K27" s="19" t="s">
        <v>5</v>
      </c>
      <c r="L27" s="19"/>
    </row>
    <row r="28" customFormat="false" ht="15" hidden="false" customHeight="false" outlineLevel="0" collapsed="false">
      <c r="A28" s="19" t="s">
        <v>22</v>
      </c>
      <c r="B28" s="19" t="s">
        <v>220</v>
      </c>
      <c r="C28" s="19" t="s">
        <v>221</v>
      </c>
      <c r="D28" s="19"/>
      <c r="E28" s="19" t="s">
        <v>222</v>
      </c>
      <c r="F28" s="19" t="s">
        <v>223</v>
      </c>
      <c r="G28" s="19" t="s">
        <v>224</v>
      </c>
      <c r="H28" s="19" t="s">
        <v>225</v>
      </c>
      <c r="I28" s="19" t="n">
        <v>1</v>
      </c>
      <c r="J28" s="19" t="s">
        <v>5</v>
      </c>
      <c r="K28" s="19" t="s">
        <v>5</v>
      </c>
      <c r="L28" s="19"/>
    </row>
    <row r="29" customFormat="false" ht="15" hidden="false" customHeight="false" outlineLevel="0" collapsed="false">
      <c r="A29" s="19" t="s">
        <v>22</v>
      </c>
      <c r="B29" s="19" t="s">
        <v>226</v>
      </c>
      <c r="C29" s="19" t="s">
        <v>227</v>
      </c>
      <c r="D29" s="19"/>
      <c r="E29" s="19" t="s">
        <v>228</v>
      </c>
      <c r="F29" s="19" t="s">
        <v>229</v>
      </c>
      <c r="G29" s="19" t="s">
        <v>224</v>
      </c>
      <c r="H29" s="19" t="s">
        <v>230</v>
      </c>
      <c r="I29" s="19" t="n">
        <v>1</v>
      </c>
      <c r="J29" s="19" t="s">
        <v>5</v>
      </c>
      <c r="K29" s="19" t="s">
        <v>5</v>
      </c>
      <c r="L29" s="19"/>
    </row>
    <row r="30" customFormat="false" ht="32.8" hidden="false" customHeight="false" outlineLevel="0" collapsed="false">
      <c r="A30" s="19" t="s">
        <v>23</v>
      </c>
      <c r="B30" s="19" t="s">
        <v>231</v>
      </c>
      <c r="C30" s="19" t="s">
        <v>232</v>
      </c>
      <c r="D30" s="19"/>
      <c r="E30" s="19" t="s">
        <v>233</v>
      </c>
      <c r="F30" s="19" t="s">
        <v>234</v>
      </c>
      <c r="G30" s="19" t="s">
        <v>235</v>
      </c>
      <c r="H30" s="19" t="s">
        <v>236</v>
      </c>
      <c r="I30" s="19" t="n">
        <v>2</v>
      </c>
      <c r="J30" s="19" t="s">
        <v>6</v>
      </c>
      <c r="K30" s="19" t="s">
        <v>237</v>
      </c>
      <c r="L30" s="19" t="s">
        <v>238</v>
      </c>
    </row>
    <row r="31" customFormat="false" ht="64.15" hidden="false" customHeight="false" outlineLevel="0" collapsed="false">
      <c r="A31" s="19" t="s">
        <v>23</v>
      </c>
      <c r="B31" s="19" t="s">
        <v>239</v>
      </c>
      <c r="C31" s="19" t="s">
        <v>240</v>
      </c>
      <c r="D31" s="19"/>
      <c r="E31" s="19" t="s">
        <v>241</v>
      </c>
      <c r="F31" s="19" t="s">
        <v>242</v>
      </c>
      <c r="G31" s="19" t="s">
        <v>243</v>
      </c>
      <c r="H31" s="19" t="s">
        <v>244</v>
      </c>
      <c r="I31" s="19" t="n">
        <v>4</v>
      </c>
      <c r="J31" s="19" t="s">
        <v>5</v>
      </c>
      <c r="K31" s="19" t="s">
        <v>5</v>
      </c>
      <c r="L31" s="19"/>
    </row>
    <row r="32" customFormat="false" ht="43.25" hidden="false" customHeight="false" outlineLevel="0" collapsed="false">
      <c r="A32" s="19" t="s">
        <v>23</v>
      </c>
      <c r="B32" s="19" t="s">
        <v>245</v>
      </c>
      <c r="C32" s="19" t="s">
        <v>246</v>
      </c>
      <c r="D32" s="19"/>
      <c r="E32" s="19" t="s">
        <v>247</v>
      </c>
      <c r="F32" s="19" t="s">
        <v>248</v>
      </c>
      <c r="G32" s="19" t="s">
        <v>249</v>
      </c>
      <c r="H32" s="19" t="s">
        <v>250</v>
      </c>
      <c r="I32" s="19" t="n">
        <v>1</v>
      </c>
      <c r="J32" s="19" t="s">
        <v>5</v>
      </c>
      <c r="K32" s="19" t="s">
        <v>5</v>
      </c>
      <c r="L32" s="19"/>
    </row>
    <row r="33" customFormat="false" ht="22.35" hidden="false" customHeight="false" outlineLevel="0" collapsed="false">
      <c r="A33" s="19" t="s">
        <v>23</v>
      </c>
      <c r="B33" s="19" t="s">
        <v>251</v>
      </c>
      <c r="C33" s="19" t="s">
        <v>252</v>
      </c>
      <c r="D33" s="19"/>
      <c r="E33" s="19" t="s">
        <v>253</v>
      </c>
      <c r="F33" s="19" t="s">
        <v>254</v>
      </c>
      <c r="G33" s="19" t="s">
        <v>255</v>
      </c>
      <c r="H33" s="19" t="s">
        <v>256</v>
      </c>
      <c r="I33" s="19" t="n">
        <v>2</v>
      </c>
      <c r="J33" s="19" t="s">
        <v>5</v>
      </c>
      <c r="K33" s="19" t="s">
        <v>5</v>
      </c>
      <c r="L33" s="19"/>
    </row>
    <row r="34" customFormat="false" ht="43.25" hidden="false" customHeight="false" outlineLevel="0" collapsed="false">
      <c r="A34" s="19" t="s">
        <v>23</v>
      </c>
      <c r="B34" s="19" t="s">
        <v>257</v>
      </c>
      <c r="C34" s="19" t="s">
        <v>258</v>
      </c>
      <c r="D34" s="19"/>
      <c r="E34" s="19" t="s">
        <v>259</v>
      </c>
      <c r="F34" s="19" t="s">
        <v>260</v>
      </c>
      <c r="G34" s="19" t="s">
        <v>261</v>
      </c>
      <c r="H34" s="19" t="s">
        <v>262</v>
      </c>
      <c r="I34" s="19" t="n">
        <v>1</v>
      </c>
      <c r="J34" s="19" t="s">
        <v>5</v>
      </c>
      <c r="K34" s="19" t="s">
        <v>5</v>
      </c>
      <c r="L34" s="19"/>
    </row>
    <row r="35" customFormat="false" ht="137.3" hidden="false" customHeight="false" outlineLevel="0" collapsed="false">
      <c r="A35" s="19" t="s">
        <v>23</v>
      </c>
      <c r="B35" s="19" t="s">
        <v>263</v>
      </c>
      <c r="C35" s="19" t="s">
        <v>264</v>
      </c>
      <c r="D35" s="19"/>
      <c r="E35" s="19" t="s">
        <v>265</v>
      </c>
      <c r="F35" s="19" t="s">
        <v>266</v>
      </c>
      <c r="G35" s="19" t="s">
        <v>267</v>
      </c>
      <c r="H35" s="19" t="s">
        <v>268</v>
      </c>
      <c r="I35" s="19" t="n">
        <v>12</v>
      </c>
      <c r="J35" s="19" t="s">
        <v>8</v>
      </c>
      <c r="K35" s="19" t="s">
        <v>269</v>
      </c>
      <c r="L35" s="19" t="s">
        <v>270</v>
      </c>
    </row>
    <row r="36" customFormat="false" ht="32.8" hidden="false" customHeight="false" outlineLevel="0" collapsed="false">
      <c r="A36" s="19" t="s">
        <v>23</v>
      </c>
      <c r="B36" s="19" t="s">
        <v>271</v>
      </c>
      <c r="C36" s="19" t="s">
        <v>272</v>
      </c>
      <c r="D36" s="19"/>
      <c r="E36" s="19" t="s">
        <v>273</v>
      </c>
      <c r="F36" s="19" t="s">
        <v>274</v>
      </c>
      <c r="G36" s="19" t="s">
        <v>275</v>
      </c>
      <c r="H36" s="19" t="s">
        <v>276</v>
      </c>
      <c r="I36" s="19" t="n">
        <v>2</v>
      </c>
      <c r="J36" s="19" t="s">
        <v>5</v>
      </c>
      <c r="K36" s="19" t="s">
        <v>5</v>
      </c>
      <c r="L36" s="19"/>
    </row>
    <row r="37" customFormat="false" ht="53.7" hidden="false" customHeight="false" outlineLevel="0" collapsed="false">
      <c r="A37" s="19" t="s">
        <v>23</v>
      </c>
      <c r="B37" s="19" t="s">
        <v>277</v>
      </c>
      <c r="C37" s="19" t="s">
        <v>278</v>
      </c>
      <c r="D37" s="19"/>
      <c r="E37" s="19" t="s">
        <v>279</v>
      </c>
      <c r="F37" s="19" t="s">
        <v>280</v>
      </c>
      <c r="G37" s="19" t="s">
        <v>281</v>
      </c>
      <c r="H37" s="19" t="s">
        <v>282</v>
      </c>
      <c r="I37" s="19" t="n">
        <v>4</v>
      </c>
      <c r="J37" s="19" t="s">
        <v>6</v>
      </c>
      <c r="K37" s="19" t="s">
        <v>283</v>
      </c>
      <c r="L37" s="19" t="s">
        <v>284</v>
      </c>
    </row>
    <row r="38" customFormat="false" ht="22.35" hidden="false" customHeight="false" outlineLevel="0" collapsed="false">
      <c r="A38" s="19" t="s">
        <v>24</v>
      </c>
      <c r="B38" s="19" t="s">
        <v>285</v>
      </c>
      <c r="C38" s="19" t="s">
        <v>286</v>
      </c>
      <c r="D38" s="19"/>
      <c r="E38" s="19" t="s">
        <v>287</v>
      </c>
      <c r="F38" s="19" t="s">
        <v>288</v>
      </c>
      <c r="G38" s="19" t="s">
        <v>289</v>
      </c>
      <c r="H38" s="19" t="s">
        <v>290</v>
      </c>
      <c r="I38" s="19" t="n">
        <v>1</v>
      </c>
      <c r="J38" s="19" t="s">
        <v>5</v>
      </c>
      <c r="K38" s="19" t="s">
        <v>5</v>
      </c>
      <c r="L38" s="19"/>
    </row>
    <row r="39" customFormat="false" ht="22.35" hidden="false" customHeight="false" outlineLevel="0" collapsed="false">
      <c r="A39" s="19" t="s">
        <v>24</v>
      </c>
      <c r="B39" s="19" t="s">
        <v>291</v>
      </c>
      <c r="C39" s="19" t="s">
        <v>292</v>
      </c>
      <c r="D39" s="19"/>
      <c r="E39" s="19" t="s">
        <v>293</v>
      </c>
      <c r="F39" s="19" t="s">
        <v>294</v>
      </c>
      <c r="G39" s="19" t="s">
        <v>295</v>
      </c>
      <c r="H39" s="19" t="s">
        <v>296</v>
      </c>
      <c r="I39" s="19" t="n">
        <v>1</v>
      </c>
      <c r="J39" s="19" t="s">
        <v>5</v>
      </c>
      <c r="K39" s="19" t="s">
        <v>5</v>
      </c>
      <c r="L39" s="19"/>
    </row>
    <row r="40" customFormat="false" ht="22.35" hidden="false" customHeight="false" outlineLevel="0" collapsed="false">
      <c r="A40" s="19" t="s">
        <v>24</v>
      </c>
      <c r="B40" s="19" t="s">
        <v>297</v>
      </c>
      <c r="C40" s="19" t="s">
        <v>298</v>
      </c>
      <c r="D40" s="19"/>
      <c r="E40" s="19" t="s">
        <v>299</v>
      </c>
      <c r="F40" s="19" t="s">
        <v>300</v>
      </c>
      <c r="G40" s="19" t="s">
        <v>301</v>
      </c>
      <c r="H40" s="19" t="s">
        <v>290</v>
      </c>
      <c r="I40" s="19" t="n">
        <v>1</v>
      </c>
      <c r="J40" s="19" t="s">
        <v>5</v>
      </c>
      <c r="K40" s="19" t="s">
        <v>5</v>
      </c>
      <c r="L40" s="19"/>
    </row>
    <row r="41" customFormat="false" ht="15" hidden="false" customHeight="false" outlineLevel="0" collapsed="false">
      <c r="A41" s="19" t="s">
        <v>24</v>
      </c>
      <c r="B41" s="19" t="s">
        <v>302</v>
      </c>
      <c r="C41" s="19" t="s">
        <v>303</v>
      </c>
      <c r="D41" s="19"/>
      <c r="E41" s="19" t="s">
        <v>304</v>
      </c>
      <c r="F41" s="19" t="s">
        <v>305</v>
      </c>
      <c r="G41" s="19" t="s">
        <v>306</v>
      </c>
      <c r="H41" s="19" t="s">
        <v>290</v>
      </c>
      <c r="I41" s="19" t="n">
        <v>1</v>
      </c>
      <c r="J41" s="19" t="s">
        <v>5</v>
      </c>
      <c r="K41" s="19" t="s">
        <v>5</v>
      </c>
      <c r="L41" s="19"/>
    </row>
    <row r="42" customFormat="false" ht="22.35" hidden="false" customHeight="false" outlineLevel="0" collapsed="false">
      <c r="A42" s="19" t="s">
        <v>24</v>
      </c>
      <c r="B42" s="19" t="s">
        <v>307</v>
      </c>
      <c r="C42" s="19" t="s">
        <v>308</v>
      </c>
      <c r="D42" s="19"/>
      <c r="E42" s="19" t="s">
        <v>309</v>
      </c>
      <c r="F42" s="19" t="s">
        <v>310</v>
      </c>
      <c r="G42" s="19" t="s">
        <v>311</v>
      </c>
      <c r="H42" s="19" t="s">
        <v>290</v>
      </c>
      <c r="I42" s="19" t="n">
        <v>1</v>
      </c>
      <c r="J42" s="19" t="s">
        <v>5</v>
      </c>
      <c r="K42" s="19" t="s">
        <v>5</v>
      </c>
      <c r="L42" s="19"/>
    </row>
    <row r="43" customFormat="false" ht="15" hidden="false" customHeight="false" outlineLevel="0" collapsed="false">
      <c r="A43" s="19" t="s">
        <v>24</v>
      </c>
      <c r="B43" s="19" t="s">
        <v>312</v>
      </c>
      <c r="C43" s="19" t="s">
        <v>313</v>
      </c>
      <c r="D43" s="19"/>
      <c r="E43" s="19" t="s">
        <v>314</v>
      </c>
      <c r="F43" s="19" t="s">
        <v>315</v>
      </c>
      <c r="G43" s="19" t="s">
        <v>316</v>
      </c>
      <c r="H43" s="19" t="s">
        <v>296</v>
      </c>
      <c r="I43" s="19" t="n">
        <v>1</v>
      </c>
      <c r="J43" s="19" t="s">
        <v>5</v>
      </c>
      <c r="K43" s="19" t="s">
        <v>5</v>
      </c>
      <c r="L43" s="19"/>
    </row>
    <row r="44" customFormat="false" ht="22.35" hidden="false" customHeight="false" outlineLevel="0" collapsed="false">
      <c r="A44" s="19" t="s">
        <v>24</v>
      </c>
      <c r="B44" s="19" t="s">
        <v>317</v>
      </c>
      <c r="C44" s="19" t="s">
        <v>318</v>
      </c>
      <c r="D44" s="19"/>
      <c r="E44" s="19" t="s">
        <v>319</v>
      </c>
      <c r="F44" s="19" t="s">
        <v>320</v>
      </c>
      <c r="G44" s="19" t="s">
        <v>321</v>
      </c>
      <c r="H44" s="19" t="s">
        <v>322</v>
      </c>
      <c r="I44" s="19" t="n">
        <v>1</v>
      </c>
      <c r="J44" s="19" t="s">
        <v>5</v>
      </c>
      <c r="K44" s="19" t="s">
        <v>5</v>
      </c>
      <c r="L44" s="19"/>
    </row>
    <row r="45" customFormat="false" ht="15" hidden="false" customHeight="false" outlineLevel="0" collapsed="false">
      <c r="A45" s="19" t="s">
        <v>25</v>
      </c>
      <c r="B45" s="19" t="s">
        <v>323</v>
      </c>
      <c r="C45" s="19" t="s">
        <v>324</v>
      </c>
      <c r="D45" s="19"/>
      <c r="E45" s="19" t="s">
        <v>325</v>
      </c>
      <c r="F45" s="19" t="s">
        <v>326</v>
      </c>
      <c r="G45" s="19" t="s">
        <v>327</v>
      </c>
      <c r="H45" s="19" t="s">
        <v>328</v>
      </c>
      <c r="I45" s="19" t="n">
        <v>1</v>
      </c>
      <c r="J45" s="19" t="s">
        <v>5</v>
      </c>
      <c r="K45" s="19" t="s">
        <v>5</v>
      </c>
      <c r="L45" s="19"/>
    </row>
    <row r="46" customFormat="false" ht="22.35" hidden="false" customHeight="false" outlineLevel="0" collapsed="false">
      <c r="A46" s="19" t="s">
        <v>25</v>
      </c>
      <c r="B46" s="19" t="s">
        <v>329</v>
      </c>
      <c r="C46" s="19" t="s">
        <v>330</v>
      </c>
      <c r="D46" s="19"/>
      <c r="E46" s="19" t="s">
        <v>331</v>
      </c>
      <c r="F46" s="19" t="s">
        <v>332</v>
      </c>
      <c r="G46" s="19" t="s">
        <v>327</v>
      </c>
      <c r="H46" s="19" t="s">
        <v>328</v>
      </c>
      <c r="I46" s="19" t="n">
        <v>1</v>
      </c>
      <c r="J46" s="19" t="s">
        <v>5</v>
      </c>
      <c r="K46" s="19" t="s">
        <v>5</v>
      </c>
      <c r="L46" s="19"/>
    </row>
    <row r="47" customFormat="false" ht="32.8" hidden="false" customHeight="false" outlineLevel="0" collapsed="false">
      <c r="A47" s="19" t="s">
        <v>25</v>
      </c>
      <c r="B47" s="19" t="s">
        <v>333</v>
      </c>
      <c r="C47" s="19" t="s">
        <v>334</v>
      </c>
      <c r="D47" s="19"/>
      <c r="E47" s="19" t="s">
        <v>335</v>
      </c>
      <c r="F47" s="19" t="s">
        <v>336</v>
      </c>
      <c r="G47" s="19" t="s">
        <v>337</v>
      </c>
      <c r="H47" s="19" t="s">
        <v>338</v>
      </c>
      <c r="I47" s="19" t="n">
        <v>2</v>
      </c>
      <c r="J47" s="19" t="s">
        <v>6</v>
      </c>
      <c r="K47" s="19" t="s">
        <v>339</v>
      </c>
      <c r="L47" s="19" t="s">
        <v>340</v>
      </c>
    </row>
    <row r="48" customFormat="false" ht="22.35" hidden="false" customHeight="false" outlineLevel="0" collapsed="false">
      <c r="A48" s="19" t="s">
        <v>25</v>
      </c>
      <c r="B48" s="19" t="s">
        <v>341</v>
      </c>
      <c r="C48" s="19" t="s">
        <v>342</v>
      </c>
      <c r="D48" s="19"/>
      <c r="E48" s="19" t="s">
        <v>343</v>
      </c>
      <c r="F48" s="19" t="s">
        <v>344</v>
      </c>
      <c r="G48" s="19" t="s">
        <v>327</v>
      </c>
      <c r="H48" s="19" t="s">
        <v>328</v>
      </c>
      <c r="I48" s="19" t="n">
        <v>1</v>
      </c>
      <c r="J48" s="19" t="s">
        <v>5</v>
      </c>
      <c r="K48" s="19" t="s">
        <v>5</v>
      </c>
      <c r="L48" s="19"/>
    </row>
    <row r="49" customFormat="false" ht="32.8" hidden="false" customHeight="false" outlineLevel="0" collapsed="false">
      <c r="A49" s="19" t="s">
        <v>26</v>
      </c>
      <c r="B49" s="19" t="s">
        <v>345</v>
      </c>
      <c r="C49" s="19" t="s">
        <v>346</v>
      </c>
      <c r="D49" s="19"/>
      <c r="E49" s="19" t="s">
        <v>347</v>
      </c>
      <c r="F49" s="19" t="s">
        <v>348</v>
      </c>
      <c r="G49" s="19" t="s">
        <v>349</v>
      </c>
      <c r="H49" s="19" t="s">
        <v>350</v>
      </c>
      <c r="I49" s="19" t="n">
        <v>2</v>
      </c>
      <c r="J49" s="19" t="s">
        <v>5</v>
      </c>
      <c r="K49" s="19" t="s">
        <v>5</v>
      </c>
      <c r="L49" s="19"/>
    </row>
    <row r="50" customFormat="false" ht="22.35" hidden="false" customHeight="false" outlineLevel="0" collapsed="false">
      <c r="A50" s="19" t="s">
        <v>27</v>
      </c>
      <c r="B50" s="19" t="s">
        <v>351</v>
      </c>
      <c r="C50" s="19" t="s">
        <v>352</v>
      </c>
      <c r="D50" s="19"/>
      <c r="E50" s="19" t="s">
        <v>353</v>
      </c>
      <c r="F50" s="19" t="s">
        <v>354</v>
      </c>
      <c r="G50" s="19" t="s">
        <v>355</v>
      </c>
      <c r="H50" s="19" t="s">
        <v>356</v>
      </c>
      <c r="I50" s="19" t="n">
        <v>1</v>
      </c>
      <c r="J50" s="19" t="s">
        <v>5</v>
      </c>
      <c r="K50" s="19" t="s">
        <v>5</v>
      </c>
      <c r="L50" s="19"/>
    </row>
    <row r="51" customFormat="false" ht="43.25" hidden="false" customHeight="false" outlineLevel="0" collapsed="false">
      <c r="A51" s="19" t="s">
        <v>27</v>
      </c>
      <c r="B51" s="19" t="s">
        <v>357</v>
      </c>
      <c r="C51" s="19" t="s">
        <v>358</v>
      </c>
      <c r="D51" s="19"/>
      <c r="E51" s="19" t="s">
        <v>359</v>
      </c>
      <c r="F51" s="19" t="s">
        <v>360</v>
      </c>
      <c r="G51" s="19" t="s">
        <v>361</v>
      </c>
      <c r="H51" s="19" t="s">
        <v>362</v>
      </c>
      <c r="I51" s="19" t="n">
        <v>2</v>
      </c>
      <c r="J51" s="19" t="s">
        <v>6</v>
      </c>
      <c r="K51" s="19" t="s">
        <v>363</v>
      </c>
      <c r="L51" s="19" t="s">
        <v>364</v>
      </c>
    </row>
    <row r="52" customFormat="false" ht="32.8" hidden="false" customHeight="false" outlineLevel="0" collapsed="false">
      <c r="A52" s="19" t="s">
        <v>27</v>
      </c>
      <c r="B52" s="19" t="s">
        <v>365</v>
      </c>
      <c r="C52" s="19" t="s">
        <v>366</v>
      </c>
      <c r="D52" s="19"/>
      <c r="E52" s="19" t="s">
        <v>367</v>
      </c>
      <c r="F52" s="19" t="s">
        <v>368</v>
      </c>
      <c r="G52" s="19" t="s">
        <v>369</v>
      </c>
      <c r="H52" s="19" t="s">
        <v>370</v>
      </c>
      <c r="I52" s="19" t="n">
        <v>1</v>
      </c>
      <c r="J52" s="19" t="s">
        <v>5</v>
      </c>
      <c r="K52" s="19" t="s">
        <v>5</v>
      </c>
      <c r="L52" s="19"/>
    </row>
    <row r="53" customFormat="false" ht="32.8" hidden="false" customHeight="false" outlineLevel="0" collapsed="false">
      <c r="A53" s="19" t="s">
        <v>27</v>
      </c>
      <c r="B53" s="19" t="s">
        <v>371</v>
      </c>
      <c r="C53" s="19" t="s">
        <v>372</v>
      </c>
      <c r="D53" s="19"/>
      <c r="E53" s="19" t="s">
        <v>373</v>
      </c>
      <c r="F53" s="19" t="s">
        <v>374</v>
      </c>
      <c r="G53" s="19" t="s">
        <v>375</v>
      </c>
      <c r="H53" s="19" t="s">
        <v>376</v>
      </c>
      <c r="I53" s="19" t="n">
        <v>2</v>
      </c>
      <c r="J53" s="19" t="s">
        <v>5</v>
      </c>
      <c r="K53" s="19" t="s">
        <v>5</v>
      </c>
      <c r="L53" s="19"/>
    </row>
    <row r="54" customFormat="false" ht="32.8" hidden="false" customHeight="false" outlineLevel="0" collapsed="false">
      <c r="A54" s="19" t="s">
        <v>27</v>
      </c>
      <c r="B54" s="19" t="s">
        <v>377</v>
      </c>
      <c r="C54" s="19" t="s">
        <v>372</v>
      </c>
      <c r="D54" s="19"/>
      <c r="E54" s="19" t="s">
        <v>378</v>
      </c>
      <c r="F54" s="19" t="s">
        <v>379</v>
      </c>
      <c r="G54" s="19" t="s">
        <v>380</v>
      </c>
      <c r="H54" s="19" t="s">
        <v>376</v>
      </c>
      <c r="I54" s="19" t="n">
        <v>2</v>
      </c>
      <c r="J54" s="19" t="s">
        <v>6</v>
      </c>
      <c r="K54" s="19" t="s">
        <v>381</v>
      </c>
      <c r="L54" s="19" t="s">
        <v>382</v>
      </c>
    </row>
    <row r="55" customFormat="false" ht="32.8" hidden="false" customHeight="false" outlineLevel="0" collapsed="false">
      <c r="A55" s="19" t="s">
        <v>27</v>
      </c>
      <c r="B55" s="19" t="s">
        <v>383</v>
      </c>
      <c r="C55" s="19" t="s">
        <v>384</v>
      </c>
      <c r="D55" s="19"/>
      <c r="E55" s="19" t="s">
        <v>385</v>
      </c>
      <c r="F55" s="19" t="s">
        <v>386</v>
      </c>
      <c r="G55" s="19" t="s">
        <v>387</v>
      </c>
      <c r="H55" s="19" t="s">
        <v>356</v>
      </c>
      <c r="I55" s="19" t="n">
        <v>1</v>
      </c>
      <c r="J55" s="19" t="s">
        <v>5</v>
      </c>
      <c r="K55" s="19" t="s">
        <v>5</v>
      </c>
      <c r="L55" s="19"/>
    </row>
    <row r="56" customFormat="false" ht="22.35" hidden="false" customHeight="false" outlineLevel="0" collapsed="false">
      <c r="A56" s="19" t="s">
        <v>27</v>
      </c>
      <c r="B56" s="19" t="s">
        <v>388</v>
      </c>
      <c r="C56" s="19" t="s">
        <v>389</v>
      </c>
      <c r="D56" s="19"/>
      <c r="E56" s="19" t="s">
        <v>390</v>
      </c>
      <c r="F56" s="19" t="s">
        <v>391</v>
      </c>
      <c r="G56" s="19" t="s">
        <v>392</v>
      </c>
      <c r="H56" s="19" t="s">
        <v>393</v>
      </c>
      <c r="I56" s="19" t="n">
        <v>2</v>
      </c>
      <c r="J56" s="19" t="s">
        <v>5</v>
      </c>
      <c r="K56" s="19" t="s">
        <v>5</v>
      </c>
      <c r="L56" s="19"/>
    </row>
    <row r="57" customFormat="false" ht="32.8" hidden="false" customHeight="false" outlineLevel="0" collapsed="false">
      <c r="A57" s="19" t="s">
        <v>27</v>
      </c>
      <c r="B57" s="19" t="s">
        <v>394</v>
      </c>
      <c r="C57" s="19" t="s">
        <v>395</v>
      </c>
      <c r="D57" s="19"/>
      <c r="E57" s="19" t="s">
        <v>396</v>
      </c>
      <c r="F57" s="19" t="s">
        <v>397</v>
      </c>
      <c r="G57" s="19" t="s">
        <v>398</v>
      </c>
      <c r="H57" s="19" t="s">
        <v>399</v>
      </c>
      <c r="I57" s="19" t="n">
        <v>2</v>
      </c>
      <c r="J57" s="19" t="s">
        <v>5</v>
      </c>
      <c r="K57" s="19" t="s">
        <v>5</v>
      </c>
      <c r="L57" s="19" t="s">
        <v>400</v>
      </c>
    </row>
    <row r="58" customFormat="false" ht="32.8" hidden="false" customHeight="false" outlineLevel="0" collapsed="false">
      <c r="A58" s="19" t="s">
        <v>27</v>
      </c>
      <c r="B58" s="19" t="s">
        <v>401</v>
      </c>
      <c r="C58" s="19" t="s">
        <v>402</v>
      </c>
      <c r="D58" s="19"/>
      <c r="E58" s="19" t="s">
        <v>403</v>
      </c>
      <c r="F58" s="19" t="s">
        <v>404</v>
      </c>
      <c r="G58" s="19" t="s">
        <v>405</v>
      </c>
      <c r="H58" s="19" t="s">
        <v>406</v>
      </c>
      <c r="I58" s="19" t="n">
        <v>2</v>
      </c>
      <c r="J58" s="19" t="s">
        <v>5</v>
      </c>
      <c r="K58" s="19" t="s">
        <v>5</v>
      </c>
      <c r="L58" s="19"/>
    </row>
    <row r="59" customFormat="false" ht="32.8" hidden="false" customHeight="false" outlineLevel="0" collapsed="false">
      <c r="A59" s="19" t="s">
        <v>28</v>
      </c>
      <c r="B59" s="19" t="s">
        <v>407</v>
      </c>
      <c r="C59" s="19" t="s">
        <v>408</v>
      </c>
      <c r="D59" s="19"/>
      <c r="E59" s="19" t="s">
        <v>409</v>
      </c>
      <c r="F59" s="19" t="s">
        <v>410</v>
      </c>
      <c r="G59" s="19" t="s">
        <v>398</v>
      </c>
      <c r="H59" s="19" t="s">
        <v>411</v>
      </c>
      <c r="I59" s="19" t="n">
        <v>1</v>
      </c>
      <c r="J59" s="19" t="s">
        <v>7</v>
      </c>
      <c r="K59" s="19" t="s">
        <v>412</v>
      </c>
      <c r="L59" s="19" t="s">
        <v>413</v>
      </c>
    </row>
    <row r="60" customFormat="false" ht="22.35" hidden="false" customHeight="false" outlineLevel="0" collapsed="false">
      <c r="A60" s="19" t="s">
        <v>29</v>
      </c>
      <c r="B60" s="19" t="s">
        <v>414</v>
      </c>
      <c r="C60" s="19" t="s">
        <v>415</v>
      </c>
      <c r="D60" s="19"/>
      <c r="E60" s="19" t="s">
        <v>416</v>
      </c>
      <c r="F60" s="19" t="s">
        <v>417</v>
      </c>
      <c r="G60" s="19" t="s">
        <v>418</v>
      </c>
      <c r="H60" s="19" t="s">
        <v>419</v>
      </c>
      <c r="I60" s="19" t="n">
        <v>1</v>
      </c>
      <c r="J60" s="19" t="s">
        <v>5</v>
      </c>
      <c r="K60" s="19" t="s">
        <v>5</v>
      </c>
      <c r="L60" s="19"/>
    </row>
    <row r="61" customFormat="false" ht="22.35" hidden="false" customHeight="false" outlineLevel="0" collapsed="false">
      <c r="A61" s="19" t="s">
        <v>29</v>
      </c>
      <c r="B61" s="19" t="s">
        <v>420</v>
      </c>
      <c r="C61" s="19" t="s">
        <v>421</v>
      </c>
      <c r="D61" s="19"/>
      <c r="E61" s="19" t="s">
        <v>422</v>
      </c>
      <c r="F61" s="19" t="s">
        <v>423</v>
      </c>
      <c r="G61" s="19" t="s">
        <v>418</v>
      </c>
      <c r="H61" s="19" t="s">
        <v>419</v>
      </c>
      <c r="I61" s="19" t="n">
        <v>1</v>
      </c>
      <c r="J61" s="19" t="s">
        <v>5</v>
      </c>
      <c r="K61" s="19" t="s">
        <v>5</v>
      </c>
      <c r="L61" s="19"/>
    </row>
    <row r="62" customFormat="false" ht="22.35" hidden="false" customHeight="false" outlineLevel="0" collapsed="false">
      <c r="A62" s="19" t="s">
        <v>29</v>
      </c>
      <c r="B62" s="19" t="s">
        <v>424</v>
      </c>
      <c r="C62" s="19" t="s">
        <v>425</v>
      </c>
      <c r="D62" s="19"/>
      <c r="E62" s="19" t="s">
        <v>426</v>
      </c>
      <c r="F62" s="19" t="s">
        <v>427</v>
      </c>
      <c r="G62" s="19" t="s">
        <v>428</v>
      </c>
      <c r="H62" s="19" t="s">
        <v>429</v>
      </c>
      <c r="I62" s="19" t="n">
        <v>1</v>
      </c>
      <c r="J62" s="19" t="s">
        <v>5</v>
      </c>
      <c r="K62" s="19" t="s">
        <v>5</v>
      </c>
      <c r="L62" s="19"/>
    </row>
    <row r="63" customFormat="false" ht="22.35" hidden="false" customHeight="false" outlineLevel="0" collapsed="false">
      <c r="A63" s="19" t="s">
        <v>29</v>
      </c>
      <c r="B63" s="19" t="s">
        <v>430</v>
      </c>
      <c r="C63" s="19" t="s">
        <v>431</v>
      </c>
      <c r="D63" s="19"/>
      <c r="E63" s="19" t="s">
        <v>432</v>
      </c>
      <c r="F63" s="19" t="s">
        <v>433</v>
      </c>
      <c r="G63" s="19" t="s">
        <v>434</v>
      </c>
      <c r="H63" s="19" t="s">
        <v>429</v>
      </c>
      <c r="I63" s="19" t="n">
        <v>1</v>
      </c>
      <c r="J63" s="19" t="s">
        <v>5</v>
      </c>
      <c r="K63" s="19" t="s">
        <v>5</v>
      </c>
      <c r="L63" s="19"/>
    </row>
    <row r="64" customFormat="false" ht="43.25" hidden="false" customHeight="false" outlineLevel="0" collapsed="false">
      <c r="A64" s="19" t="s">
        <v>29</v>
      </c>
      <c r="B64" s="19" t="s">
        <v>435</v>
      </c>
      <c r="C64" s="19" t="s">
        <v>436</v>
      </c>
      <c r="D64" s="19"/>
      <c r="E64" s="19" t="s">
        <v>437</v>
      </c>
      <c r="F64" s="19" t="s">
        <v>438</v>
      </c>
      <c r="G64" s="19" t="s">
        <v>439</v>
      </c>
      <c r="H64" s="19" t="s">
        <v>429</v>
      </c>
      <c r="I64" s="19" t="n">
        <v>1</v>
      </c>
      <c r="J64" s="19" t="s">
        <v>5</v>
      </c>
      <c r="K64" s="19" t="s">
        <v>5</v>
      </c>
      <c r="L64" s="19"/>
    </row>
    <row r="65" customFormat="false" ht="32.8" hidden="false" customHeight="false" outlineLevel="0" collapsed="false">
      <c r="A65" s="19" t="s">
        <v>29</v>
      </c>
      <c r="B65" s="19" t="s">
        <v>440</v>
      </c>
      <c r="C65" s="19" t="s">
        <v>441</v>
      </c>
      <c r="D65" s="19"/>
      <c r="E65" s="19" t="s">
        <v>442</v>
      </c>
      <c r="F65" s="19" t="s">
        <v>443</v>
      </c>
      <c r="G65" s="19" t="s">
        <v>444</v>
      </c>
      <c r="H65" s="19" t="s">
        <v>419</v>
      </c>
      <c r="I65" s="19" t="n">
        <v>1</v>
      </c>
      <c r="J65" s="19" t="s">
        <v>6</v>
      </c>
      <c r="K65" s="19" t="s">
        <v>445</v>
      </c>
      <c r="L65" s="19" t="s">
        <v>446</v>
      </c>
    </row>
  </sheetData>
  <autoFilter ref="A1:L65"/>
  <conditionalFormatting sqref="J2:J65">
    <cfRule type="expression" priority="2" aboveAverage="0" equalAverage="0" bottom="0" percent="0" rank="0" text="" dxfId="8">
      <formula>$J2="Implémenté et testé"</formula>
    </cfRule>
    <cfRule type="expression" priority="3" aboveAverage="0" equalAverage="0" bottom="0" percent="0" rank="0" text="" dxfId="9">
      <formula>$J2="Interprétation à valider"</formula>
    </cfRule>
    <cfRule type="expression" priority="4" aboveAverage="0" equalAverage="0" bottom="0" percent="0" rank="0" text="" dxfId="10">
      <formula>$J2="Proposition (énoncé vide)"</formula>
    </cfRule>
    <cfRule type="expression" priority="5" aboveAverage="0" equalAverage="0" bottom="0" percent="0" rank="0" text="" dxfId="11">
      <formula>$J2="Qualification à faire"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8"/>
    <col collapsed="false" customWidth="true" hidden="false" outlineLevel="0" max="3" min="3" style="0" width="40"/>
    <col collapsed="false" customWidth="true" hidden="false" outlineLevel="0" max="4" min="4" style="0" width="70"/>
    <col collapsed="false" customWidth="true" hidden="false" outlineLevel="0" max="6" min="5" style="0" width="40"/>
    <col collapsed="false" customWidth="true" hidden="false" outlineLevel="0" max="7" min="7" style="0" width="20"/>
    <col collapsed="false" customWidth="true" hidden="false" outlineLevel="0" max="8" min="8" style="0" width="12"/>
  </cols>
  <sheetData>
    <row r="1" customFormat="false" ht="31.5" hidden="false" customHeight="true" outlineLevel="0" collapsed="false">
      <c r="A1" s="18" t="s">
        <v>39</v>
      </c>
      <c r="B1" s="18" t="s">
        <v>447</v>
      </c>
      <c r="C1" s="18" t="s">
        <v>448</v>
      </c>
      <c r="D1" s="18" t="s">
        <v>449</v>
      </c>
      <c r="E1" s="18" t="s">
        <v>450</v>
      </c>
      <c r="F1" s="18" t="s">
        <v>451</v>
      </c>
      <c r="G1" s="18" t="s">
        <v>2</v>
      </c>
      <c r="H1" s="18" t="s">
        <v>452</v>
      </c>
    </row>
    <row r="2" customFormat="false" ht="43.25" hidden="false" customHeight="false" outlineLevel="0" collapsed="false">
      <c r="A2" s="19" t="s">
        <v>135</v>
      </c>
      <c r="B2" s="19" t="s">
        <v>453</v>
      </c>
      <c r="C2" s="19" t="s">
        <v>454</v>
      </c>
      <c r="D2" s="19" t="s">
        <v>455</v>
      </c>
      <c r="E2" s="19" t="s">
        <v>456</v>
      </c>
      <c r="F2" s="19" t="s">
        <v>457</v>
      </c>
      <c r="G2" s="19" t="s">
        <v>6</v>
      </c>
      <c r="H2" s="19" t="s">
        <v>143</v>
      </c>
    </row>
    <row r="3" customFormat="false" ht="43.25" hidden="false" customHeight="false" outlineLevel="0" collapsed="false">
      <c r="A3" s="19" t="s">
        <v>177</v>
      </c>
      <c r="B3" s="19" t="s">
        <v>453</v>
      </c>
      <c r="C3" s="19" t="s">
        <v>458</v>
      </c>
      <c r="D3" s="19" t="s">
        <v>459</v>
      </c>
      <c r="E3" s="19" t="s">
        <v>460</v>
      </c>
      <c r="F3" s="19" t="s">
        <v>461</v>
      </c>
      <c r="G3" s="19" t="s">
        <v>462</v>
      </c>
      <c r="H3" s="19" t="s">
        <v>185</v>
      </c>
    </row>
    <row r="4" customFormat="false" ht="43.25" hidden="false" customHeight="false" outlineLevel="0" collapsed="false">
      <c r="A4" s="19" t="s">
        <v>186</v>
      </c>
      <c r="B4" s="19" t="s">
        <v>453</v>
      </c>
      <c r="C4" s="19" t="s">
        <v>463</v>
      </c>
      <c r="D4" s="19" t="s">
        <v>464</v>
      </c>
      <c r="E4" s="19" t="s">
        <v>465</v>
      </c>
      <c r="F4" s="19" t="s">
        <v>466</v>
      </c>
      <c r="G4" s="19" t="s">
        <v>6</v>
      </c>
      <c r="H4" s="19" t="s">
        <v>194</v>
      </c>
    </row>
    <row r="5" customFormat="false" ht="64.15" hidden="false" customHeight="false" outlineLevel="0" collapsed="false">
      <c r="A5" s="19" t="s">
        <v>207</v>
      </c>
      <c r="B5" s="19" t="s">
        <v>453</v>
      </c>
      <c r="C5" s="19" t="s">
        <v>467</v>
      </c>
      <c r="D5" s="19" t="s">
        <v>468</v>
      </c>
      <c r="E5" s="19" t="s">
        <v>469</v>
      </c>
      <c r="F5" s="19" t="s">
        <v>213</v>
      </c>
      <c r="G5" s="19" t="s">
        <v>5</v>
      </c>
      <c r="H5" s="19" t="s">
        <v>470</v>
      </c>
    </row>
  </sheetData>
  <autoFilter ref="A1:H5"/>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36"/>
    <col collapsed="false" customWidth="true" hidden="false" outlineLevel="0" max="4" min="4" style="0" width="80"/>
    <col collapsed="false" customWidth="true" hidden="false" outlineLevel="0" max="6" min="5" style="0" width="30"/>
  </cols>
  <sheetData>
    <row r="1" customFormat="false" ht="31.5" hidden="false" customHeight="true" outlineLevel="0" collapsed="false">
      <c r="A1" s="18" t="s">
        <v>471</v>
      </c>
      <c r="B1" s="18" t="s">
        <v>472</v>
      </c>
      <c r="C1" s="18" t="s">
        <v>473</v>
      </c>
      <c r="D1" s="18" t="s">
        <v>474</v>
      </c>
      <c r="E1" s="18" t="s">
        <v>475</v>
      </c>
      <c r="F1" s="18" t="s">
        <v>476</v>
      </c>
    </row>
    <row r="2" customFormat="false" ht="43.25" hidden="false" customHeight="false" outlineLevel="0" collapsed="false">
      <c r="A2" s="19" t="n">
        <v>1</v>
      </c>
      <c r="B2" s="19" t="s">
        <v>477</v>
      </c>
      <c r="C2" s="19" t="s">
        <v>478</v>
      </c>
      <c r="D2" s="19" t="s">
        <v>479</v>
      </c>
      <c r="E2" s="19" t="s">
        <v>480</v>
      </c>
      <c r="F2" s="21"/>
    </row>
    <row r="3" customFormat="false" ht="22.35" hidden="false" customHeight="false" outlineLevel="0" collapsed="false">
      <c r="A3" s="19" t="n">
        <v>2</v>
      </c>
      <c r="B3" s="19" t="s">
        <v>481</v>
      </c>
      <c r="C3" s="19" t="s">
        <v>482</v>
      </c>
      <c r="D3" s="19" t="s">
        <v>483</v>
      </c>
      <c r="E3" s="19" t="s">
        <v>484</v>
      </c>
      <c r="F3" s="21"/>
    </row>
    <row r="4" customFormat="false" ht="32.8" hidden="false" customHeight="false" outlineLevel="0" collapsed="false">
      <c r="A4" s="19" t="n">
        <v>3</v>
      </c>
      <c r="B4" s="19" t="s">
        <v>485</v>
      </c>
      <c r="C4" s="19" t="s">
        <v>486</v>
      </c>
      <c r="D4" s="19" t="s">
        <v>487</v>
      </c>
      <c r="E4" s="19" t="s">
        <v>191</v>
      </c>
      <c r="F4" s="21"/>
    </row>
    <row r="5" customFormat="false" ht="32.8" hidden="false" customHeight="false" outlineLevel="0" collapsed="false">
      <c r="A5" s="19" t="n">
        <v>4</v>
      </c>
      <c r="B5" s="19" t="s">
        <v>488</v>
      </c>
      <c r="C5" s="19" t="s">
        <v>489</v>
      </c>
      <c r="D5" s="19" t="s">
        <v>490</v>
      </c>
      <c r="E5" s="19" t="s">
        <v>218</v>
      </c>
      <c r="F5" s="21"/>
    </row>
    <row r="6" customFormat="false" ht="32.8" hidden="false" customHeight="false" outlineLevel="0" collapsed="false">
      <c r="A6" s="19" t="n">
        <v>5</v>
      </c>
      <c r="B6" s="19" t="s">
        <v>491</v>
      </c>
      <c r="C6" s="19" t="s">
        <v>492</v>
      </c>
      <c r="D6" s="19" t="s">
        <v>493</v>
      </c>
      <c r="E6" s="19" t="s">
        <v>494</v>
      </c>
      <c r="F6" s="21"/>
    </row>
    <row r="7" customFormat="false" ht="32.8" hidden="false" customHeight="false" outlineLevel="0" collapsed="false">
      <c r="A7" s="19" t="n">
        <v>6</v>
      </c>
      <c r="B7" s="19" t="s">
        <v>495</v>
      </c>
      <c r="C7" s="19" t="s">
        <v>496</v>
      </c>
      <c r="D7" s="19" t="s">
        <v>497</v>
      </c>
      <c r="E7" s="19" t="s">
        <v>498</v>
      </c>
      <c r="F7" s="21"/>
    </row>
    <row r="8" customFormat="false" ht="43.25" hidden="false" customHeight="false" outlineLevel="0" collapsed="false">
      <c r="A8" s="19" t="n">
        <v>7</v>
      </c>
      <c r="B8" s="19" t="s">
        <v>499</v>
      </c>
      <c r="C8" s="19" t="s">
        <v>500</v>
      </c>
      <c r="D8" s="19" t="s">
        <v>501</v>
      </c>
      <c r="E8" s="19" t="s">
        <v>502</v>
      </c>
      <c r="F8" s="21"/>
    </row>
    <row r="9" customFormat="false" ht="32.8" hidden="false" customHeight="false" outlineLevel="0" collapsed="false">
      <c r="A9" s="19" t="n">
        <v>8</v>
      </c>
      <c r="B9" s="19" t="s">
        <v>503</v>
      </c>
      <c r="C9" s="19" t="s">
        <v>504</v>
      </c>
      <c r="D9" s="19" t="s">
        <v>505</v>
      </c>
      <c r="E9" s="19" t="s">
        <v>506</v>
      </c>
      <c r="F9" s="21"/>
    </row>
    <row r="10" customFormat="false" ht="32.8" hidden="false" customHeight="false" outlineLevel="0" collapsed="false">
      <c r="A10" s="19" t="n">
        <v>9</v>
      </c>
      <c r="B10" s="19" t="s">
        <v>507</v>
      </c>
      <c r="C10" s="19" t="s">
        <v>508</v>
      </c>
      <c r="D10" s="19" t="s">
        <v>509</v>
      </c>
      <c r="E10" s="19" t="s">
        <v>484</v>
      </c>
      <c r="F10" s="21"/>
    </row>
    <row r="11" customFormat="false" ht="53.7" hidden="false" customHeight="false" outlineLevel="0" collapsed="false">
      <c r="A11" s="19" t="n">
        <v>10</v>
      </c>
      <c r="B11" s="19" t="s">
        <v>510</v>
      </c>
      <c r="C11" s="19" t="s">
        <v>511</v>
      </c>
      <c r="D11" s="19" t="s">
        <v>512</v>
      </c>
      <c r="E11" s="19" t="s">
        <v>513</v>
      </c>
      <c r="F11" s="21"/>
    </row>
    <row r="12" customFormat="false" ht="22.35" hidden="false" customHeight="false" outlineLevel="0" collapsed="false">
      <c r="A12" s="19" t="n">
        <v>11</v>
      </c>
      <c r="B12" s="19" t="s">
        <v>514</v>
      </c>
      <c r="C12" s="19" t="s">
        <v>515</v>
      </c>
      <c r="D12" s="19" t="s">
        <v>516</v>
      </c>
      <c r="E12" s="19" t="s">
        <v>517</v>
      </c>
      <c r="F12" s="21"/>
    </row>
    <row r="13" customFormat="false" ht="32.8" hidden="false" customHeight="false" outlineLevel="0" collapsed="false">
      <c r="A13" s="19" t="n">
        <v>12</v>
      </c>
      <c r="B13" s="19" t="s">
        <v>518</v>
      </c>
      <c r="C13" s="19" t="s">
        <v>519</v>
      </c>
      <c r="D13" s="19" t="s">
        <v>520</v>
      </c>
      <c r="E13" s="19" t="s">
        <v>521</v>
      </c>
      <c r="F13" s="21"/>
    </row>
    <row r="14" customFormat="false" ht="32.8" hidden="false" customHeight="false" outlineLevel="0" collapsed="false">
      <c r="A14" s="19" t="n">
        <v>13</v>
      </c>
      <c r="B14" s="19" t="s">
        <v>522</v>
      </c>
      <c r="C14" s="19" t="s">
        <v>523</v>
      </c>
      <c r="D14" s="19" t="s">
        <v>524</v>
      </c>
      <c r="E14" s="19" t="s">
        <v>525</v>
      </c>
      <c r="F14" s="21"/>
    </row>
    <row r="15" customFormat="false" ht="43.25" hidden="false" customHeight="false" outlineLevel="0" collapsed="false">
      <c r="A15" s="19" t="n">
        <v>14</v>
      </c>
      <c r="B15" s="19" t="s">
        <v>526</v>
      </c>
      <c r="C15" s="19" t="s">
        <v>527</v>
      </c>
      <c r="D15" s="19" t="s">
        <v>528</v>
      </c>
      <c r="E15" s="19" t="s">
        <v>120</v>
      </c>
      <c r="F15" s="21"/>
    </row>
    <row r="16" customFormat="false" ht="32.8" hidden="false" customHeight="false" outlineLevel="0" collapsed="false">
      <c r="A16" s="19" t="n">
        <v>15</v>
      </c>
      <c r="B16" s="19" t="s">
        <v>529</v>
      </c>
      <c r="C16" s="19" t="s">
        <v>530</v>
      </c>
      <c r="D16" s="19" t="s">
        <v>531</v>
      </c>
      <c r="E16" s="19" t="s">
        <v>532</v>
      </c>
      <c r="F16" s="21"/>
    </row>
    <row r="17" customFormat="false" ht="74.6" hidden="false" customHeight="false" outlineLevel="0" collapsed="false">
      <c r="A17" s="19" t="n">
        <v>16</v>
      </c>
      <c r="B17" s="19" t="s">
        <v>533</v>
      </c>
      <c r="C17" s="19" t="s">
        <v>534</v>
      </c>
      <c r="D17" s="19" t="s">
        <v>535</v>
      </c>
      <c r="E17" s="19" t="s">
        <v>536</v>
      </c>
      <c r="F17" s="21"/>
    </row>
    <row r="18" customFormat="false" ht="22.35" hidden="false" customHeight="false" outlineLevel="0" collapsed="false">
      <c r="A18" s="19" t="n">
        <v>17</v>
      </c>
      <c r="B18" s="19" t="s">
        <v>537</v>
      </c>
      <c r="C18" s="19" t="s">
        <v>538</v>
      </c>
      <c r="D18" s="19" t="s">
        <v>539</v>
      </c>
      <c r="E18" s="19" t="s">
        <v>470</v>
      </c>
      <c r="F18" s="21"/>
    </row>
  </sheetData>
  <autoFilter ref="A1:F18"/>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2"/>
    <col collapsed="false" customWidth="true" hidden="false" outlineLevel="0" max="3" min="3" style="0" width="70"/>
    <col collapsed="false" customWidth="true" hidden="false" outlineLevel="0" max="5" min="4" style="0" width="10"/>
    <col collapsed="false" customWidth="true" hidden="false" outlineLevel="0" max="6" min="6" style="0" width="50"/>
  </cols>
  <sheetData>
    <row r="1" customFormat="false" ht="31.5" hidden="false" customHeight="true" outlineLevel="0" collapsed="false">
      <c r="A1" s="18" t="s">
        <v>540</v>
      </c>
      <c r="B1" s="18" t="s">
        <v>541</v>
      </c>
      <c r="C1" s="18" t="s">
        <v>542</v>
      </c>
      <c r="D1" s="18" t="s">
        <v>543</v>
      </c>
      <c r="E1" s="18" t="s">
        <v>544</v>
      </c>
      <c r="F1" s="18" t="s">
        <v>545</v>
      </c>
    </row>
    <row r="2" customFormat="false" ht="15" hidden="false" customHeight="false" outlineLevel="0" collapsed="false">
      <c r="A2" s="19" t="s">
        <v>546</v>
      </c>
      <c r="B2" s="19" t="s">
        <v>547</v>
      </c>
      <c r="C2" s="19" t="s">
        <v>548</v>
      </c>
      <c r="D2" s="19" t="n">
        <v>76</v>
      </c>
      <c r="E2" s="19" t="n">
        <v>5</v>
      </c>
      <c r="F2" s="19" t="s">
        <v>549</v>
      </c>
    </row>
    <row r="3" customFormat="false" ht="22.35" hidden="false" customHeight="false" outlineLevel="0" collapsed="false">
      <c r="A3" s="19" t="s">
        <v>550</v>
      </c>
      <c r="B3" s="19" t="s">
        <v>551</v>
      </c>
      <c r="C3" s="19" t="s">
        <v>552</v>
      </c>
      <c r="D3" s="19" t="n">
        <v>128</v>
      </c>
      <c r="E3" s="19" t="n">
        <v>13</v>
      </c>
      <c r="F3" s="19" t="s">
        <v>553</v>
      </c>
    </row>
    <row r="4" customFormat="false" ht="15" hidden="false" customHeight="false" outlineLevel="0" collapsed="false">
      <c r="A4" s="19" t="s">
        <v>554</v>
      </c>
      <c r="B4" s="19" t="s">
        <v>551</v>
      </c>
      <c r="C4" s="19" t="s">
        <v>555</v>
      </c>
      <c r="D4" s="19" t="n">
        <v>111</v>
      </c>
      <c r="E4" s="19" t="n">
        <v>12</v>
      </c>
      <c r="F4" s="19" t="s">
        <v>556</v>
      </c>
    </row>
    <row r="5" customFormat="false" ht="15" hidden="false" customHeight="false" outlineLevel="0" collapsed="false">
      <c r="A5" s="19" t="s">
        <v>557</v>
      </c>
      <c r="B5" s="19" t="s">
        <v>551</v>
      </c>
      <c r="C5" s="19" t="s">
        <v>558</v>
      </c>
      <c r="D5" s="19" t="n">
        <v>643</v>
      </c>
      <c r="E5" s="19" t="n">
        <v>39</v>
      </c>
      <c r="F5" s="19" t="s">
        <v>559</v>
      </c>
    </row>
    <row r="6" customFormat="false" ht="15" hidden="false" customHeight="false" outlineLevel="0" collapsed="false">
      <c r="A6" s="19" t="s">
        <v>560</v>
      </c>
      <c r="B6" s="19" t="s">
        <v>551</v>
      </c>
      <c r="C6" s="19" t="s">
        <v>561</v>
      </c>
      <c r="D6" s="19" t="n">
        <v>61</v>
      </c>
      <c r="E6" s="19" t="n">
        <v>5</v>
      </c>
      <c r="F6" s="19" t="s">
        <v>562</v>
      </c>
    </row>
    <row r="7" customFormat="false" ht="15" hidden="false" customHeight="false" outlineLevel="0" collapsed="false">
      <c r="A7" s="19" t="s">
        <v>563</v>
      </c>
      <c r="B7" s="19" t="s">
        <v>551</v>
      </c>
      <c r="C7" s="19" t="s">
        <v>564</v>
      </c>
      <c r="D7" s="19" t="n">
        <v>281</v>
      </c>
      <c r="E7" s="19" t="n">
        <v>41</v>
      </c>
      <c r="F7" s="19" t="s">
        <v>565</v>
      </c>
    </row>
    <row r="8" customFormat="false" ht="15" hidden="false" customHeight="false" outlineLevel="0" collapsed="false">
      <c r="A8" s="19" t="s">
        <v>566</v>
      </c>
      <c r="B8" s="19" t="s">
        <v>551</v>
      </c>
      <c r="C8" s="19" t="s">
        <v>567</v>
      </c>
      <c r="D8" s="19" t="n">
        <v>48</v>
      </c>
      <c r="E8" s="19" t="n">
        <v>1</v>
      </c>
      <c r="F8" s="19" t="s">
        <v>568</v>
      </c>
    </row>
    <row r="9" customFormat="false" ht="15" hidden="false" customHeight="false" outlineLevel="0" collapsed="false">
      <c r="A9" s="19" t="s">
        <v>569</v>
      </c>
      <c r="B9" s="19" t="s">
        <v>551</v>
      </c>
      <c r="C9" s="19" t="s">
        <v>570</v>
      </c>
      <c r="D9" s="19" t="n">
        <v>32</v>
      </c>
      <c r="E9" s="19" t="n">
        <v>5</v>
      </c>
      <c r="F9" s="19" t="s">
        <v>571</v>
      </c>
    </row>
    <row r="10" customFormat="false" ht="15" hidden="false" customHeight="false" outlineLevel="0" collapsed="false">
      <c r="A10" s="19" t="s">
        <v>572</v>
      </c>
      <c r="B10" s="19" t="s">
        <v>551</v>
      </c>
      <c r="C10" s="19" t="s">
        <v>573</v>
      </c>
      <c r="D10" s="19" t="n">
        <v>75</v>
      </c>
      <c r="E10" s="19" t="n">
        <v>2</v>
      </c>
      <c r="F10" s="19" t="s">
        <v>574</v>
      </c>
    </row>
    <row r="11" customFormat="false" ht="15" hidden="false" customHeight="false" outlineLevel="0" collapsed="false">
      <c r="A11" s="19" t="s">
        <v>575</v>
      </c>
      <c r="B11" s="19" t="s">
        <v>551</v>
      </c>
      <c r="C11" s="19" t="s">
        <v>576</v>
      </c>
      <c r="D11" s="19" t="n">
        <v>116</v>
      </c>
      <c r="E11" s="19" t="n">
        <v>8</v>
      </c>
      <c r="F11" s="19" t="s">
        <v>577</v>
      </c>
    </row>
    <row r="12" customFormat="false" ht="15" hidden="false" customHeight="false" outlineLevel="0" collapsed="false">
      <c r="A12" s="19" t="s">
        <v>578</v>
      </c>
      <c r="B12" s="19" t="s">
        <v>551</v>
      </c>
      <c r="C12" s="19" t="s">
        <v>579</v>
      </c>
      <c r="D12" s="19" t="n">
        <v>149</v>
      </c>
      <c r="E12" s="19" t="n">
        <v>9</v>
      </c>
      <c r="F12" s="19" t="s">
        <v>580</v>
      </c>
    </row>
    <row r="13" customFormat="false" ht="15" hidden="false" customHeight="false" outlineLevel="0" collapsed="false">
      <c r="A13" s="19" t="s">
        <v>581</v>
      </c>
      <c r="B13" s="19" t="s">
        <v>551</v>
      </c>
      <c r="C13" s="19" t="s">
        <v>582</v>
      </c>
      <c r="D13" s="19" t="n">
        <v>187</v>
      </c>
      <c r="E13" s="19" t="n">
        <v>14</v>
      </c>
      <c r="F13" s="19" t="s">
        <v>583</v>
      </c>
    </row>
    <row r="14" customFormat="false" ht="15" hidden="false" customHeight="false" outlineLevel="0" collapsed="false">
      <c r="A14" s="19" t="s">
        <v>584</v>
      </c>
      <c r="B14" s="19" t="s">
        <v>551</v>
      </c>
      <c r="C14" s="19" t="s">
        <v>585</v>
      </c>
      <c r="D14" s="19" t="n">
        <v>168</v>
      </c>
      <c r="E14" s="19" t="n">
        <v>11</v>
      </c>
      <c r="F14" s="19" t="s">
        <v>586</v>
      </c>
    </row>
    <row r="15" customFormat="false" ht="15" hidden="false" customHeight="false" outlineLevel="0" collapsed="false">
      <c r="A15" s="19" t="s">
        <v>587</v>
      </c>
      <c r="B15" s="19" t="s">
        <v>551</v>
      </c>
      <c r="C15" s="19" t="s">
        <v>588</v>
      </c>
      <c r="D15" s="19" t="n">
        <v>365</v>
      </c>
      <c r="E15" s="19" t="n">
        <v>19</v>
      </c>
      <c r="F15" s="19" t="s">
        <v>589</v>
      </c>
    </row>
    <row r="16" customFormat="false" ht="15" hidden="false" customHeight="false" outlineLevel="0" collapsed="false">
      <c r="A16" s="19" t="s">
        <v>590</v>
      </c>
      <c r="B16" s="19" t="s">
        <v>551</v>
      </c>
      <c r="C16" s="19" t="s">
        <v>591</v>
      </c>
      <c r="D16" s="19" t="n">
        <v>439</v>
      </c>
      <c r="E16" s="19" t="n">
        <v>25</v>
      </c>
      <c r="F16" s="19" t="s">
        <v>592</v>
      </c>
    </row>
    <row r="17" customFormat="false" ht="15" hidden="false" customHeight="false" outlineLevel="0" collapsed="false">
      <c r="A17" s="19" t="s">
        <v>593</v>
      </c>
      <c r="B17" s="19" t="s">
        <v>551</v>
      </c>
      <c r="C17" s="19" t="s">
        <v>594</v>
      </c>
      <c r="D17" s="19" t="n">
        <v>129</v>
      </c>
      <c r="E17" s="19" t="n">
        <v>4</v>
      </c>
      <c r="F17" s="19" t="s">
        <v>595</v>
      </c>
    </row>
    <row r="18" customFormat="false" ht="15" hidden="false" customHeight="false" outlineLevel="0" collapsed="false">
      <c r="A18" s="19" t="s">
        <v>596</v>
      </c>
      <c r="B18" s="19" t="s">
        <v>551</v>
      </c>
      <c r="C18" s="19" t="s">
        <v>597</v>
      </c>
      <c r="D18" s="19" t="n">
        <v>87</v>
      </c>
      <c r="E18" s="19" t="n">
        <v>7</v>
      </c>
      <c r="F18" s="19" t="s">
        <v>598</v>
      </c>
    </row>
    <row r="19" customFormat="false" ht="22.35" hidden="false" customHeight="false" outlineLevel="0" collapsed="false">
      <c r="A19" s="19" t="s">
        <v>599</v>
      </c>
      <c r="B19" s="19" t="s">
        <v>600</v>
      </c>
      <c r="C19" s="19" t="s">
        <v>601</v>
      </c>
      <c r="D19" s="19" t="n">
        <v>486</v>
      </c>
      <c r="E19" s="19" t="n">
        <v>41</v>
      </c>
      <c r="F19" s="19" t="s">
        <v>602</v>
      </c>
    </row>
    <row r="20" customFormat="false" ht="32.8" hidden="false" customHeight="false" outlineLevel="0" collapsed="false">
      <c r="A20" s="19" t="s">
        <v>603</v>
      </c>
      <c r="B20" s="19" t="s">
        <v>600</v>
      </c>
      <c r="C20" s="19" t="s">
        <v>604</v>
      </c>
      <c r="D20" s="19" t="n">
        <v>710</v>
      </c>
      <c r="E20" s="19" t="n">
        <v>67</v>
      </c>
      <c r="F20" s="19" t="s">
        <v>605</v>
      </c>
    </row>
    <row r="21" customFormat="false" ht="15" hidden="false" customHeight="false" outlineLevel="0" collapsed="false">
      <c r="A21" s="19" t="s">
        <v>606</v>
      </c>
      <c r="B21" s="19" t="s">
        <v>600</v>
      </c>
      <c r="C21" s="19" t="s">
        <v>607</v>
      </c>
      <c r="D21" s="19" t="n">
        <v>269</v>
      </c>
      <c r="E21" s="19" t="n">
        <v>26</v>
      </c>
      <c r="F21" s="19" t="s">
        <v>608</v>
      </c>
    </row>
    <row r="22" customFormat="false" ht="15" hidden="false" customHeight="false" outlineLevel="0" collapsed="false">
      <c r="A22" s="19" t="s">
        <v>609</v>
      </c>
      <c r="B22" s="19" t="s">
        <v>600</v>
      </c>
      <c r="C22" s="19" t="s">
        <v>610</v>
      </c>
      <c r="D22" s="19" t="n">
        <v>138</v>
      </c>
      <c r="E22" s="19" t="n">
        <v>17</v>
      </c>
      <c r="F22" s="19" t="s">
        <v>611</v>
      </c>
    </row>
    <row r="23" customFormat="false" ht="15" hidden="false" customHeight="false" outlineLevel="0" collapsed="false">
      <c r="A23" s="19" t="s">
        <v>612</v>
      </c>
      <c r="B23" s="19" t="s">
        <v>600</v>
      </c>
      <c r="C23" s="19" t="s">
        <v>613</v>
      </c>
      <c r="D23" s="19" t="n">
        <v>114</v>
      </c>
      <c r="E23" s="19" t="n">
        <v>6</v>
      </c>
      <c r="F23" s="19" t="s">
        <v>614</v>
      </c>
    </row>
    <row r="24" customFormat="false" ht="15" hidden="false" customHeight="false" outlineLevel="0" collapsed="false">
      <c r="A24" s="19" t="s">
        <v>615</v>
      </c>
      <c r="B24" s="19" t="s">
        <v>600</v>
      </c>
      <c r="C24" s="19" t="s">
        <v>616</v>
      </c>
      <c r="D24" s="19" t="n">
        <v>52</v>
      </c>
      <c r="E24" s="19" t="n">
        <v>7</v>
      </c>
      <c r="F24" s="19" t="s">
        <v>617</v>
      </c>
    </row>
    <row r="25" customFormat="false" ht="15" hidden="false" customHeight="false" outlineLevel="0" collapsed="false">
      <c r="A25" s="19" t="s">
        <v>618</v>
      </c>
      <c r="B25" s="19" t="s">
        <v>600</v>
      </c>
      <c r="C25" s="19" t="s">
        <v>619</v>
      </c>
      <c r="D25" s="19" t="n">
        <v>45</v>
      </c>
      <c r="E25" s="19" t="n">
        <v>6</v>
      </c>
      <c r="F25" s="19"/>
    </row>
    <row r="26" customFormat="false" ht="15" hidden="false" customHeight="false" outlineLevel="0" collapsed="false">
      <c r="A26" s="19" t="s">
        <v>620</v>
      </c>
      <c r="B26" s="19" t="s">
        <v>600</v>
      </c>
      <c r="C26" s="19" t="s">
        <v>621</v>
      </c>
      <c r="D26" s="19" t="n">
        <v>140</v>
      </c>
      <c r="E26" s="19" t="n">
        <v>9</v>
      </c>
      <c r="F26" s="19" t="s">
        <v>622</v>
      </c>
    </row>
    <row r="27" customFormat="false" ht="22.35" hidden="false" customHeight="false" outlineLevel="0" collapsed="false">
      <c r="A27" s="19" t="s">
        <v>623</v>
      </c>
      <c r="B27" s="19" t="s">
        <v>600</v>
      </c>
      <c r="C27" s="19" t="s">
        <v>624</v>
      </c>
      <c r="D27" s="19" t="n">
        <v>92</v>
      </c>
      <c r="E27" s="19" t="n">
        <v>2</v>
      </c>
      <c r="F27" s="19" t="s">
        <v>625</v>
      </c>
    </row>
    <row r="28" customFormat="false" ht="15" hidden="false" customHeight="false" outlineLevel="0" collapsed="false">
      <c r="A28" s="19" t="s">
        <v>626</v>
      </c>
      <c r="B28" s="19" t="s">
        <v>600</v>
      </c>
      <c r="C28" s="19" t="s">
        <v>627</v>
      </c>
      <c r="D28" s="19" t="n">
        <v>35</v>
      </c>
      <c r="E28" s="19" t="n">
        <v>3</v>
      </c>
      <c r="F28" s="19" t="s">
        <v>628</v>
      </c>
    </row>
    <row r="29" customFormat="false" ht="15" hidden="false" customHeight="false" outlineLevel="0" collapsed="false">
      <c r="A29" s="19" t="s">
        <v>629</v>
      </c>
      <c r="B29" s="19" t="s">
        <v>600</v>
      </c>
      <c r="C29" s="19" t="s">
        <v>630</v>
      </c>
      <c r="D29" s="19" t="n">
        <v>47</v>
      </c>
      <c r="E29" s="19" t="n">
        <v>4</v>
      </c>
      <c r="F29" s="19" t="s">
        <v>631</v>
      </c>
    </row>
    <row r="30" customFormat="false" ht="15" hidden="false" customHeight="false" outlineLevel="0" collapsed="false">
      <c r="A30" s="19" t="s">
        <v>632</v>
      </c>
      <c r="B30" s="19" t="s">
        <v>600</v>
      </c>
      <c r="C30" s="19" t="s">
        <v>633</v>
      </c>
      <c r="D30" s="19" t="n">
        <v>59</v>
      </c>
      <c r="E30" s="19" t="n">
        <v>8</v>
      </c>
      <c r="F30" s="19" t="s">
        <v>634</v>
      </c>
    </row>
    <row r="31" customFormat="false" ht="15" hidden="false" customHeight="false" outlineLevel="0" collapsed="false">
      <c r="A31" s="19" t="s">
        <v>635</v>
      </c>
      <c r="B31" s="19" t="s">
        <v>600</v>
      </c>
      <c r="C31" s="19" t="s">
        <v>636</v>
      </c>
      <c r="D31" s="19" t="n">
        <v>54</v>
      </c>
      <c r="E31" s="19" t="n">
        <v>7</v>
      </c>
      <c r="F31" s="19" t="s">
        <v>637</v>
      </c>
    </row>
    <row r="32" customFormat="false" ht="15" hidden="false" customHeight="false" outlineLevel="0" collapsed="false">
      <c r="A32" s="19" t="s">
        <v>638</v>
      </c>
      <c r="B32" s="19" t="s">
        <v>600</v>
      </c>
      <c r="C32" s="19" t="s">
        <v>639</v>
      </c>
      <c r="D32" s="19" t="n">
        <v>198</v>
      </c>
      <c r="E32" s="19" t="n">
        <v>13</v>
      </c>
      <c r="F32" s="19" t="s">
        <v>640</v>
      </c>
    </row>
    <row r="33" customFormat="false" ht="15" hidden="false" customHeight="false" outlineLevel="0" collapsed="false">
      <c r="A33" s="19" t="s">
        <v>641</v>
      </c>
      <c r="B33" s="19" t="s">
        <v>642</v>
      </c>
      <c r="C33" s="19" t="s">
        <v>643</v>
      </c>
      <c r="D33" s="19" t="n">
        <v>145</v>
      </c>
      <c r="E33" s="19" t="n">
        <v>8</v>
      </c>
      <c r="F33" s="19" t="s">
        <v>644</v>
      </c>
    </row>
    <row r="34" customFormat="false" ht="15" hidden="false" customHeight="false" outlineLevel="0" collapsed="false">
      <c r="A34" s="19" t="s">
        <v>645</v>
      </c>
      <c r="B34" s="19" t="s">
        <v>642</v>
      </c>
      <c r="C34" s="19" t="s">
        <v>646</v>
      </c>
      <c r="D34" s="19" t="n">
        <v>447</v>
      </c>
      <c r="E34" s="19" t="n">
        <v>27</v>
      </c>
      <c r="F34" s="19" t="s">
        <v>647</v>
      </c>
    </row>
    <row r="35" customFormat="false" ht="15" hidden="false" customHeight="false" outlineLevel="0" collapsed="false">
      <c r="A35" s="19" t="s">
        <v>648</v>
      </c>
      <c r="B35" s="19" t="s">
        <v>642</v>
      </c>
      <c r="C35" s="19" t="s">
        <v>649</v>
      </c>
      <c r="D35" s="19" t="n">
        <v>32</v>
      </c>
      <c r="E35" s="19" t="n">
        <v>1</v>
      </c>
      <c r="F35" s="19"/>
    </row>
    <row r="36" customFormat="false" ht="15" hidden="false" customHeight="false" outlineLevel="0" collapsed="false">
      <c r="A36" s="19" t="s">
        <v>650</v>
      </c>
      <c r="B36" s="19" t="s">
        <v>642</v>
      </c>
      <c r="C36" s="19" t="s">
        <v>651</v>
      </c>
      <c r="D36" s="19" t="n">
        <v>31</v>
      </c>
      <c r="E36" s="19" t="n">
        <v>4</v>
      </c>
      <c r="F36" s="19"/>
    </row>
    <row r="37" customFormat="false" ht="15" hidden="false" customHeight="false" outlineLevel="0" collapsed="false">
      <c r="A37" s="19" t="s">
        <v>652</v>
      </c>
      <c r="B37" s="19" t="s">
        <v>653</v>
      </c>
      <c r="C37" s="19" t="s">
        <v>654</v>
      </c>
      <c r="D37" s="19" t="n">
        <v>181</v>
      </c>
      <c r="E37" s="19" t="n">
        <v>8</v>
      </c>
      <c r="F37" s="19" t="s">
        <v>655</v>
      </c>
    </row>
    <row r="38" customFormat="false" ht="15" hidden="false" customHeight="false" outlineLevel="0" collapsed="false">
      <c r="A38" s="19" t="s">
        <v>656</v>
      </c>
      <c r="B38" s="19" t="s">
        <v>657</v>
      </c>
      <c r="C38" s="19" t="s">
        <v>658</v>
      </c>
      <c r="D38" s="19" t="n">
        <v>60</v>
      </c>
      <c r="E38" s="19" t="n">
        <v>9</v>
      </c>
      <c r="F38" s="19" t="s">
        <v>659</v>
      </c>
    </row>
    <row r="39" customFormat="false" ht="15" hidden="false" customHeight="false" outlineLevel="0" collapsed="false">
      <c r="A39" s="19" t="s">
        <v>660</v>
      </c>
      <c r="B39" s="19" t="s">
        <v>657</v>
      </c>
      <c r="C39" s="19" t="s">
        <v>661</v>
      </c>
      <c r="D39" s="19" t="n">
        <v>129</v>
      </c>
      <c r="E39" s="19" t="n">
        <v>10</v>
      </c>
      <c r="F39" s="19" t="s">
        <v>662</v>
      </c>
    </row>
    <row r="40" customFormat="false" ht="15" hidden="false" customHeight="false" outlineLevel="0" collapsed="false">
      <c r="A40" s="19" t="s">
        <v>663</v>
      </c>
      <c r="B40" s="19" t="s">
        <v>657</v>
      </c>
      <c r="C40" s="19" t="s">
        <v>664</v>
      </c>
      <c r="D40" s="19" t="n">
        <v>174</v>
      </c>
      <c r="E40" s="19" t="n">
        <v>13</v>
      </c>
      <c r="F40" s="19" t="s">
        <v>665</v>
      </c>
    </row>
    <row r="41" customFormat="false" ht="15" hidden="false" customHeight="false" outlineLevel="0" collapsed="false">
      <c r="A41" s="19" t="s">
        <v>666</v>
      </c>
      <c r="B41" s="19" t="s">
        <v>547</v>
      </c>
      <c r="C41" s="19" t="s">
        <v>667</v>
      </c>
      <c r="D41" s="19" t="n">
        <v>17</v>
      </c>
      <c r="E41" s="19" t="n">
        <v>1</v>
      </c>
      <c r="F41" s="19" t="s">
        <v>668</v>
      </c>
    </row>
    <row r="42" customFormat="false" ht="15" hidden="false" customHeight="false" outlineLevel="0" collapsed="false">
      <c r="A42" s="19" t="s">
        <v>199</v>
      </c>
      <c r="B42" s="19" t="s">
        <v>199</v>
      </c>
      <c r="C42" s="19" t="s">
        <v>669</v>
      </c>
      <c r="D42" s="19" t="n">
        <v>105</v>
      </c>
      <c r="E42" s="19" t="n">
        <v>3</v>
      </c>
      <c r="F42" s="19" t="s">
        <v>670</v>
      </c>
    </row>
    <row r="43" customFormat="false" ht="15" hidden="false" customHeight="false" outlineLevel="0" collapsed="false">
      <c r="A43" s="19" t="s">
        <v>671</v>
      </c>
      <c r="B43" s="19" t="s">
        <v>672</v>
      </c>
      <c r="C43" s="19" t="s">
        <v>673</v>
      </c>
      <c r="D43" s="19" t="n">
        <v>34</v>
      </c>
      <c r="E43" s="19" t="n">
        <v>1</v>
      </c>
      <c r="F43" s="19" t="s">
        <v>665</v>
      </c>
    </row>
    <row r="44" customFormat="false" ht="15" hidden="false" customHeight="false" outlineLevel="0" collapsed="false">
      <c r="A44" s="19" t="s">
        <v>674</v>
      </c>
      <c r="B44" s="19" t="s">
        <v>672</v>
      </c>
      <c r="C44" s="19" t="s">
        <v>675</v>
      </c>
      <c r="D44" s="19" t="n">
        <v>90</v>
      </c>
      <c r="E44" s="19" t="n">
        <v>3</v>
      </c>
      <c r="F44" s="19" t="s">
        <v>676</v>
      </c>
    </row>
    <row r="45" customFormat="false" ht="15" hidden="false" customHeight="false" outlineLevel="0" collapsed="false">
      <c r="A45" s="19" t="s">
        <v>677</v>
      </c>
      <c r="B45" s="19" t="s">
        <v>672</v>
      </c>
      <c r="C45" s="19" t="s">
        <v>678</v>
      </c>
      <c r="D45" s="19" t="n">
        <v>101</v>
      </c>
      <c r="E45" s="19" t="n">
        <v>6</v>
      </c>
      <c r="F45" s="19" t="s">
        <v>679</v>
      </c>
    </row>
    <row r="46" customFormat="false" ht="15" hidden="false" customHeight="false" outlineLevel="0" collapsed="false">
      <c r="A46" s="19" t="s">
        <v>680</v>
      </c>
      <c r="B46" s="19" t="s">
        <v>672</v>
      </c>
      <c r="C46" s="19" t="s">
        <v>681</v>
      </c>
      <c r="D46" s="19" t="n">
        <v>55</v>
      </c>
      <c r="E46" s="19" t="n">
        <v>3</v>
      </c>
      <c r="F46" s="19" t="s">
        <v>682</v>
      </c>
    </row>
  </sheetData>
  <autoFilter ref="A1:F46"/>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3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6"/>
    <col collapsed="false" customWidth="true" hidden="false" outlineLevel="0" max="3" min="3" style="0" width="48"/>
    <col collapsed="false" customWidth="true" hidden="false" outlineLevel="0" max="4" min="4" style="0" width="70"/>
    <col collapsed="false" customWidth="true" hidden="false" outlineLevel="0" max="5" min="5" style="0" width="24"/>
  </cols>
  <sheetData>
    <row r="1" customFormat="false" ht="31.5" hidden="false" customHeight="true" outlineLevel="0" collapsed="false">
      <c r="A1" s="18" t="s">
        <v>683</v>
      </c>
      <c r="B1" s="18" t="s">
        <v>684</v>
      </c>
      <c r="C1" s="18" t="s">
        <v>685</v>
      </c>
      <c r="D1" s="18" t="s">
        <v>686</v>
      </c>
      <c r="E1" s="18" t="s">
        <v>687</v>
      </c>
    </row>
    <row r="2" customFormat="false" ht="15" hidden="false" customHeight="false" outlineLevel="0" collapsed="false">
      <c r="A2" s="19" t="s">
        <v>688</v>
      </c>
      <c r="B2" s="19" t="s">
        <v>689</v>
      </c>
      <c r="C2" s="19" t="s">
        <v>690</v>
      </c>
      <c r="D2" s="19" t="s">
        <v>691</v>
      </c>
      <c r="E2" s="19" t="s">
        <v>692</v>
      </c>
    </row>
    <row r="3" customFormat="false" ht="22.35" hidden="false" customHeight="false" outlineLevel="0" collapsed="false">
      <c r="A3" s="19" t="s">
        <v>688</v>
      </c>
      <c r="B3" s="19" t="s">
        <v>689</v>
      </c>
      <c r="C3" s="19" t="s">
        <v>693</v>
      </c>
      <c r="D3" s="19"/>
      <c r="E3" s="19" t="s">
        <v>694</v>
      </c>
    </row>
    <row r="4" customFormat="false" ht="22.35" hidden="false" customHeight="false" outlineLevel="0" collapsed="false">
      <c r="A4" s="19" t="s">
        <v>688</v>
      </c>
      <c r="B4" s="19" t="s">
        <v>689</v>
      </c>
      <c r="C4" s="19" t="s">
        <v>695</v>
      </c>
      <c r="D4" s="19" t="s">
        <v>696</v>
      </c>
      <c r="E4" s="19" t="s">
        <v>694</v>
      </c>
    </row>
    <row r="5" customFormat="false" ht="22.35" hidden="false" customHeight="false" outlineLevel="0" collapsed="false">
      <c r="A5" s="19" t="s">
        <v>688</v>
      </c>
      <c r="B5" s="19" t="s">
        <v>689</v>
      </c>
      <c r="C5" s="19" t="s">
        <v>697</v>
      </c>
      <c r="D5" s="19"/>
      <c r="E5" s="19" t="s">
        <v>694</v>
      </c>
    </row>
    <row r="6" customFormat="false" ht="22.35" hidden="false" customHeight="false" outlineLevel="0" collapsed="false">
      <c r="A6" s="19" t="s">
        <v>688</v>
      </c>
      <c r="B6" s="19" t="s">
        <v>689</v>
      </c>
      <c r="C6" s="19" t="s">
        <v>698</v>
      </c>
      <c r="D6" s="19"/>
      <c r="E6" s="19" t="s">
        <v>694</v>
      </c>
    </row>
    <row r="7" customFormat="false" ht="22.35" hidden="false" customHeight="false" outlineLevel="0" collapsed="false">
      <c r="A7" s="19" t="s">
        <v>688</v>
      </c>
      <c r="B7" s="19" t="s">
        <v>689</v>
      </c>
      <c r="C7" s="19" t="s">
        <v>699</v>
      </c>
      <c r="D7" s="19"/>
      <c r="E7" s="19" t="s">
        <v>694</v>
      </c>
    </row>
    <row r="8" customFormat="false" ht="22.35" hidden="false" customHeight="false" outlineLevel="0" collapsed="false">
      <c r="A8" s="19" t="s">
        <v>688</v>
      </c>
      <c r="B8" s="19" t="s">
        <v>689</v>
      </c>
      <c r="C8" s="19" t="s">
        <v>700</v>
      </c>
      <c r="D8" s="19" t="s">
        <v>701</v>
      </c>
      <c r="E8" s="19" t="s">
        <v>694</v>
      </c>
    </row>
    <row r="9" customFormat="false" ht="15" hidden="false" customHeight="false" outlineLevel="0" collapsed="false">
      <c r="A9" s="19" t="s">
        <v>688</v>
      </c>
      <c r="B9" s="19" t="s">
        <v>689</v>
      </c>
      <c r="C9" s="19" t="s">
        <v>702</v>
      </c>
      <c r="D9" s="19" t="s">
        <v>703</v>
      </c>
      <c r="E9" s="19" t="s">
        <v>637</v>
      </c>
    </row>
    <row r="10" customFormat="false" ht="22.35" hidden="false" customHeight="false" outlineLevel="0" collapsed="false">
      <c r="A10" s="19" t="s">
        <v>688</v>
      </c>
      <c r="B10" s="19" t="s">
        <v>689</v>
      </c>
      <c r="C10" s="19" t="s">
        <v>704</v>
      </c>
      <c r="D10" s="19"/>
      <c r="E10" s="19" t="s">
        <v>694</v>
      </c>
    </row>
    <row r="11" customFormat="false" ht="15" hidden="false" customHeight="false" outlineLevel="0" collapsed="false">
      <c r="A11" s="19" t="s">
        <v>688</v>
      </c>
      <c r="B11" s="19" t="s">
        <v>689</v>
      </c>
      <c r="C11" s="19" t="s">
        <v>705</v>
      </c>
      <c r="D11" s="19" t="s">
        <v>706</v>
      </c>
      <c r="E11" s="19" t="s">
        <v>707</v>
      </c>
    </row>
    <row r="12" customFormat="false" ht="15" hidden="false" customHeight="false" outlineLevel="0" collapsed="false">
      <c r="A12" s="19" t="s">
        <v>688</v>
      </c>
      <c r="B12" s="19" t="s">
        <v>708</v>
      </c>
      <c r="C12" s="19" t="s">
        <v>709</v>
      </c>
      <c r="D12" s="19"/>
      <c r="E12" s="19" t="s">
        <v>710</v>
      </c>
    </row>
    <row r="13" customFormat="false" ht="15" hidden="false" customHeight="false" outlineLevel="0" collapsed="false">
      <c r="A13" s="19" t="s">
        <v>688</v>
      </c>
      <c r="B13" s="19" t="s">
        <v>708</v>
      </c>
      <c r="C13" s="19" t="s">
        <v>711</v>
      </c>
      <c r="D13" s="19"/>
      <c r="E13" s="19" t="s">
        <v>710</v>
      </c>
    </row>
    <row r="14" customFormat="false" ht="22.35" hidden="false" customHeight="false" outlineLevel="0" collapsed="false">
      <c r="A14" s="19" t="s">
        <v>688</v>
      </c>
      <c r="B14" s="19" t="s">
        <v>708</v>
      </c>
      <c r="C14" s="19" t="s">
        <v>712</v>
      </c>
      <c r="D14" s="19"/>
      <c r="E14" s="19" t="s">
        <v>694</v>
      </c>
    </row>
    <row r="15" customFormat="false" ht="15" hidden="false" customHeight="false" outlineLevel="0" collapsed="false">
      <c r="A15" s="19" t="s">
        <v>688</v>
      </c>
      <c r="B15" s="19" t="s">
        <v>708</v>
      </c>
      <c r="C15" s="19" t="s">
        <v>713</v>
      </c>
      <c r="D15" s="19" t="s">
        <v>714</v>
      </c>
      <c r="E15" s="19" t="s">
        <v>715</v>
      </c>
    </row>
    <row r="16" customFormat="false" ht="15" hidden="false" customHeight="false" outlineLevel="0" collapsed="false">
      <c r="A16" s="19" t="s">
        <v>688</v>
      </c>
      <c r="B16" s="19" t="s">
        <v>708</v>
      </c>
      <c r="C16" s="19" t="s">
        <v>716</v>
      </c>
      <c r="D16" s="19" t="s">
        <v>717</v>
      </c>
      <c r="E16" s="19" t="s">
        <v>598</v>
      </c>
    </row>
    <row r="17" customFormat="false" ht="15" hidden="false" customHeight="false" outlineLevel="0" collapsed="false">
      <c r="A17" s="19" t="s">
        <v>688</v>
      </c>
      <c r="B17" s="19" t="s">
        <v>708</v>
      </c>
      <c r="C17" s="19" t="s">
        <v>718</v>
      </c>
      <c r="D17" s="19" t="s">
        <v>719</v>
      </c>
      <c r="E17" s="19" t="s">
        <v>720</v>
      </c>
    </row>
    <row r="18" customFormat="false" ht="15" hidden="false" customHeight="false" outlineLevel="0" collapsed="false">
      <c r="A18" s="19" t="s">
        <v>688</v>
      </c>
      <c r="B18" s="19" t="s">
        <v>708</v>
      </c>
      <c r="C18" s="19" t="s">
        <v>721</v>
      </c>
      <c r="D18" s="19" t="s">
        <v>722</v>
      </c>
      <c r="E18" s="19" t="s">
        <v>723</v>
      </c>
    </row>
    <row r="19" customFormat="false" ht="15" hidden="false" customHeight="false" outlineLevel="0" collapsed="false">
      <c r="A19" s="19" t="s">
        <v>724</v>
      </c>
      <c r="B19" s="19" t="s">
        <v>725</v>
      </c>
      <c r="C19" s="19" t="s">
        <v>726</v>
      </c>
      <c r="D19" s="19" t="s">
        <v>727</v>
      </c>
      <c r="E19" s="19" t="s">
        <v>728</v>
      </c>
    </row>
    <row r="20" customFormat="false" ht="15" hidden="false" customHeight="false" outlineLevel="0" collapsed="false">
      <c r="A20" s="19" t="s">
        <v>724</v>
      </c>
      <c r="B20" s="19" t="s">
        <v>725</v>
      </c>
      <c r="C20" s="19" t="s">
        <v>729</v>
      </c>
      <c r="D20" s="19" t="s">
        <v>730</v>
      </c>
      <c r="E20" s="19" t="s">
        <v>731</v>
      </c>
    </row>
    <row r="21" customFormat="false" ht="15" hidden="false" customHeight="false" outlineLevel="0" collapsed="false">
      <c r="A21" s="19" t="s">
        <v>724</v>
      </c>
      <c r="B21" s="19" t="s">
        <v>725</v>
      </c>
      <c r="C21" s="19" t="s">
        <v>732</v>
      </c>
      <c r="D21" s="19" t="s">
        <v>733</v>
      </c>
      <c r="E21" s="19" t="s">
        <v>665</v>
      </c>
    </row>
    <row r="22" customFormat="false" ht="15" hidden="false" customHeight="false" outlineLevel="0" collapsed="false">
      <c r="A22" s="19" t="s">
        <v>724</v>
      </c>
      <c r="B22" s="19" t="s">
        <v>725</v>
      </c>
      <c r="C22" s="19" t="s">
        <v>734</v>
      </c>
      <c r="D22" s="19" t="s">
        <v>735</v>
      </c>
      <c r="E22" s="19" t="s">
        <v>736</v>
      </c>
    </row>
    <row r="23" customFormat="false" ht="15" hidden="false" customHeight="false" outlineLevel="0" collapsed="false">
      <c r="A23" s="19" t="s">
        <v>724</v>
      </c>
      <c r="B23" s="19" t="s">
        <v>725</v>
      </c>
      <c r="C23" s="19" t="s">
        <v>737</v>
      </c>
      <c r="D23" s="19" t="s">
        <v>738</v>
      </c>
      <c r="E23" s="19" t="s">
        <v>739</v>
      </c>
    </row>
    <row r="24" customFormat="false" ht="15" hidden="false" customHeight="false" outlineLevel="0" collapsed="false">
      <c r="A24" s="19" t="s">
        <v>724</v>
      </c>
      <c r="B24" s="19" t="s">
        <v>725</v>
      </c>
      <c r="C24" s="19" t="s">
        <v>740</v>
      </c>
      <c r="D24" s="19" t="s">
        <v>741</v>
      </c>
      <c r="E24" s="19" t="s">
        <v>742</v>
      </c>
    </row>
    <row r="25" customFormat="false" ht="22.35" hidden="false" customHeight="false" outlineLevel="0" collapsed="false">
      <c r="A25" s="19" t="s">
        <v>724</v>
      </c>
      <c r="B25" s="19" t="s">
        <v>725</v>
      </c>
      <c r="C25" s="19" t="s">
        <v>743</v>
      </c>
      <c r="D25" s="19" t="s">
        <v>744</v>
      </c>
      <c r="E25" s="19" t="s">
        <v>745</v>
      </c>
    </row>
    <row r="26" customFormat="false" ht="22.35" hidden="false" customHeight="false" outlineLevel="0" collapsed="false">
      <c r="A26" s="19" t="s">
        <v>724</v>
      </c>
      <c r="B26" s="19" t="s">
        <v>725</v>
      </c>
      <c r="C26" s="19" t="s">
        <v>746</v>
      </c>
      <c r="D26" s="19" t="s">
        <v>747</v>
      </c>
      <c r="E26" s="19" t="s">
        <v>748</v>
      </c>
    </row>
    <row r="27" customFormat="false" ht="15" hidden="false" customHeight="false" outlineLevel="0" collapsed="false">
      <c r="A27" s="19" t="s">
        <v>724</v>
      </c>
      <c r="B27" s="19" t="s">
        <v>725</v>
      </c>
      <c r="C27" s="19" t="s">
        <v>749</v>
      </c>
      <c r="D27" s="19" t="s">
        <v>750</v>
      </c>
      <c r="E27" s="19" t="s">
        <v>751</v>
      </c>
    </row>
    <row r="28" customFormat="false" ht="15" hidden="false" customHeight="false" outlineLevel="0" collapsed="false">
      <c r="A28" s="19" t="s">
        <v>752</v>
      </c>
      <c r="B28" s="19" t="s">
        <v>753</v>
      </c>
      <c r="C28" s="19" t="s">
        <v>754</v>
      </c>
      <c r="D28" s="19" t="s">
        <v>755</v>
      </c>
      <c r="E28" s="19" t="s">
        <v>756</v>
      </c>
    </row>
    <row r="29" customFormat="false" ht="15" hidden="false" customHeight="false" outlineLevel="0" collapsed="false">
      <c r="A29" s="19" t="s">
        <v>752</v>
      </c>
      <c r="B29" s="19" t="s">
        <v>753</v>
      </c>
      <c r="C29" s="19" t="s">
        <v>757</v>
      </c>
      <c r="D29" s="19" t="s">
        <v>758</v>
      </c>
      <c r="E29" s="19" t="s">
        <v>571</v>
      </c>
    </row>
    <row r="30" customFormat="false" ht="15" hidden="false" customHeight="false" outlineLevel="0" collapsed="false">
      <c r="A30" s="19" t="s">
        <v>752</v>
      </c>
      <c r="B30" s="19" t="s">
        <v>753</v>
      </c>
      <c r="C30" s="19" t="s">
        <v>759</v>
      </c>
      <c r="D30" s="19" t="s">
        <v>760</v>
      </c>
      <c r="E30" s="19" t="s">
        <v>761</v>
      </c>
    </row>
    <row r="31" customFormat="false" ht="15" hidden="false" customHeight="false" outlineLevel="0" collapsed="false">
      <c r="A31" s="19" t="s">
        <v>752</v>
      </c>
      <c r="B31" s="19" t="s">
        <v>753</v>
      </c>
      <c r="C31" s="19" t="s">
        <v>762</v>
      </c>
      <c r="D31" s="19"/>
      <c r="E31" s="19" t="s">
        <v>761</v>
      </c>
    </row>
    <row r="32" customFormat="false" ht="15" hidden="false" customHeight="false" outlineLevel="0" collapsed="false">
      <c r="A32" s="19" t="s">
        <v>752</v>
      </c>
      <c r="B32" s="19" t="s">
        <v>753</v>
      </c>
      <c r="C32" s="19" t="s">
        <v>763</v>
      </c>
      <c r="D32" s="19" t="s">
        <v>764</v>
      </c>
      <c r="E32" s="19" t="s">
        <v>765</v>
      </c>
    </row>
    <row r="33" customFormat="false" ht="15" hidden="false" customHeight="false" outlineLevel="0" collapsed="false">
      <c r="A33" s="19" t="s">
        <v>752</v>
      </c>
      <c r="B33" s="19" t="s">
        <v>753</v>
      </c>
      <c r="C33" s="19" t="s">
        <v>766</v>
      </c>
      <c r="D33" s="19" t="s">
        <v>767</v>
      </c>
      <c r="E33" s="19" t="s">
        <v>768</v>
      </c>
    </row>
    <row r="34" customFormat="false" ht="15" hidden="false" customHeight="false" outlineLevel="0" collapsed="false">
      <c r="A34" s="19" t="s">
        <v>752</v>
      </c>
      <c r="B34" s="19" t="s">
        <v>753</v>
      </c>
      <c r="C34" s="19" t="s">
        <v>769</v>
      </c>
      <c r="D34" s="19" t="s">
        <v>770</v>
      </c>
      <c r="E34" s="19" t="s">
        <v>771</v>
      </c>
    </row>
    <row r="35" customFormat="false" ht="22.35" hidden="false" customHeight="false" outlineLevel="0" collapsed="false">
      <c r="A35" s="19" t="s">
        <v>752</v>
      </c>
      <c r="B35" s="19" t="s">
        <v>753</v>
      </c>
      <c r="C35" s="19" t="s">
        <v>772</v>
      </c>
      <c r="D35" s="19"/>
      <c r="E35" s="19" t="s">
        <v>773</v>
      </c>
    </row>
    <row r="36" customFormat="false" ht="15" hidden="false" customHeight="false" outlineLevel="0" collapsed="false">
      <c r="A36" s="19" t="s">
        <v>752</v>
      </c>
      <c r="B36" s="19" t="s">
        <v>753</v>
      </c>
      <c r="C36" s="19" t="s">
        <v>774</v>
      </c>
      <c r="D36" s="19" t="s">
        <v>775</v>
      </c>
      <c r="E36" s="19" t="s">
        <v>676</v>
      </c>
    </row>
    <row r="37" customFormat="false" ht="15" hidden="false" customHeight="false" outlineLevel="0" collapsed="false">
      <c r="A37" s="19" t="s">
        <v>752</v>
      </c>
      <c r="B37" s="19" t="s">
        <v>753</v>
      </c>
      <c r="C37" s="19" t="s">
        <v>776</v>
      </c>
      <c r="D37" s="19"/>
      <c r="E37" s="19" t="s">
        <v>777</v>
      </c>
    </row>
    <row r="38" customFormat="false" ht="22.35" hidden="false" customHeight="false" outlineLevel="0" collapsed="false">
      <c r="A38" s="19" t="s">
        <v>752</v>
      </c>
      <c r="B38" s="19" t="s">
        <v>753</v>
      </c>
      <c r="C38" s="19" t="s">
        <v>778</v>
      </c>
      <c r="D38" s="19"/>
      <c r="E38" s="19" t="s">
        <v>773</v>
      </c>
    </row>
    <row r="39" customFormat="false" ht="15" hidden="false" customHeight="false" outlineLevel="0" collapsed="false">
      <c r="A39" s="19" t="s">
        <v>752</v>
      </c>
      <c r="B39" s="19" t="s">
        <v>753</v>
      </c>
      <c r="C39" s="19" t="s">
        <v>779</v>
      </c>
      <c r="D39" s="19"/>
      <c r="E39" s="19" t="s">
        <v>637</v>
      </c>
    </row>
    <row r="40" customFormat="false" ht="15" hidden="false" customHeight="false" outlineLevel="0" collapsed="false">
      <c r="A40" s="19" t="s">
        <v>752</v>
      </c>
      <c r="B40" s="19" t="s">
        <v>753</v>
      </c>
      <c r="C40" s="19" t="s">
        <v>780</v>
      </c>
      <c r="D40" s="19" t="s">
        <v>781</v>
      </c>
      <c r="E40" s="19" t="s">
        <v>637</v>
      </c>
    </row>
    <row r="41" customFormat="false" ht="15" hidden="false" customHeight="false" outlineLevel="0" collapsed="false">
      <c r="A41" s="19" t="s">
        <v>752</v>
      </c>
      <c r="B41" s="19" t="s">
        <v>753</v>
      </c>
      <c r="C41" s="19" t="s">
        <v>782</v>
      </c>
      <c r="D41" s="19" t="s">
        <v>783</v>
      </c>
      <c r="E41" s="19" t="s">
        <v>637</v>
      </c>
    </row>
    <row r="42" customFormat="false" ht="22.35" hidden="false" customHeight="false" outlineLevel="0" collapsed="false">
      <c r="A42" s="19" t="s">
        <v>752</v>
      </c>
      <c r="B42" s="19" t="s">
        <v>753</v>
      </c>
      <c r="C42" s="19" t="s">
        <v>784</v>
      </c>
      <c r="D42" s="19" t="s">
        <v>785</v>
      </c>
      <c r="E42" s="19" t="s">
        <v>773</v>
      </c>
    </row>
    <row r="43" customFormat="false" ht="15" hidden="false" customHeight="false" outlineLevel="0" collapsed="false">
      <c r="A43" s="19" t="s">
        <v>752</v>
      </c>
      <c r="B43" s="19" t="s">
        <v>753</v>
      </c>
      <c r="C43" s="19" t="s">
        <v>786</v>
      </c>
      <c r="D43" s="19" t="s">
        <v>787</v>
      </c>
      <c r="E43" s="19" t="s">
        <v>788</v>
      </c>
    </row>
    <row r="44" customFormat="false" ht="15" hidden="false" customHeight="false" outlineLevel="0" collapsed="false">
      <c r="A44" s="19" t="s">
        <v>752</v>
      </c>
      <c r="B44" s="19" t="s">
        <v>789</v>
      </c>
      <c r="C44" s="19" t="s">
        <v>790</v>
      </c>
      <c r="D44" s="19" t="s">
        <v>791</v>
      </c>
      <c r="E44" s="19" t="s">
        <v>586</v>
      </c>
    </row>
    <row r="45" customFormat="false" ht="22.35" hidden="false" customHeight="false" outlineLevel="0" collapsed="false">
      <c r="A45" s="19" t="s">
        <v>752</v>
      </c>
      <c r="B45" s="19" t="s">
        <v>789</v>
      </c>
      <c r="C45" s="19" t="s">
        <v>792</v>
      </c>
      <c r="D45" s="19" t="s">
        <v>793</v>
      </c>
      <c r="E45" s="19" t="s">
        <v>773</v>
      </c>
    </row>
    <row r="46" customFormat="false" ht="22.35" hidden="false" customHeight="false" outlineLevel="0" collapsed="false">
      <c r="A46" s="19" t="s">
        <v>752</v>
      </c>
      <c r="B46" s="19" t="s">
        <v>789</v>
      </c>
      <c r="C46" s="19" t="s">
        <v>794</v>
      </c>
      <c r="D46" s="19"/>
      <c r="E46" s="19" t="s">
        <v>773</v>
      </c>
    </row>
    <row r="47" customFormat="false" ht="22.35" hidden="false" customHeight="false" outlineLevel="0" collapsed="false">
      <c r="A47" s="19" t="s">
        <v>752</v>
      </c>
      <c r="B47" s="19" t="s">
        <v>789</v>
      </c>
      <c r="C47" s="19" t="s">
        <v>795</v>
      </c>
      <c r="D47" s="19"/>
      <c r="E47" s="19" t="s">
        <v>773</v>
      </c>
    </row>
    <row r="48" customFormat="false" ht="15" hidden="false" customHeight="false" outlineLevel="0" collapsed="false">
      <c r="A48" s="19" t="s">
        <v>752</v>
      </c>
      <c r="B48" s="19" t="s">
        <v>789</v>
      </c>
      <c r="C48" s="19" t="s">
        <v>796</v>
      </c>
      <c r="D48" s="19" t="s">
        <v>797</v>
      </c>
      <c r="E48" s="19" t="s">
        <v>562</v>
      </c>
    </row>
    <row r="49" customFormat="false" ht="22.35" hidden="false" customHeight="false" outlineLevel="0" collapsed="false">
      <c r="A49" s="19" t="s">
        <v>798</v>
      </c>
      <c r="B49" s="19" t="s">
        <v>799</v>
      </c>
      <c r="C49" s="19" t="s">
        <v>800</v>
      </c>
      <c r="D49" s="19" t="s">
        <v>801</v>
      </c>
      <c r="E49" s="19" t="s">
        <v>802</v>
      </c>
    </row>
    <row r="50" customFormat="false" ht="15" hidden="false" customHeight="false" outlineLevel="0" collapsed="false">
      <c r="A50" s="19" t="s">
        <v>798</v>
      </c>
      <c r="B50" s="19" t="s">
        <v>799</v>
      </c>
      <c r="C50" s="19" t="s">
        <v>803</v>
      </c>
      <c r="D50" s="19" t="s">
        <v>804</v>
      </c>
      <c r="E50" s="19" t="s">
        <v>805</v>
      </c>
    </row>
    <row r="51" customFormat="false" ht="15" hidden="false" customHeight="false" outlineLevel="0" collapsed="false">
      <c r="A51" s="19" t="s">
        <v>798</v>
      </c>
      <c r="B51" s="19" t="s">
        <v>799</v>
      </c>
      <c r="C51" s="19" t="s">
        <v>806</v>
      </c>
      <c r="D51" s="19" t="s">
        <v>807</v>
      </c>
      <c r="E51" s="19" t="s">
        <v>808</v>
      </c>
    </row>
    <row r="52" customFormat="false" ht="15" hidden="false" customHeight="false" outlineLevel="0" collapsed="false">
      <c r="A52" s="19" t="s">
        <v>798</v>
      </c>
      <c r="B52" s="19" t="s">
        <v>799</v>
      </c>
      <c r="C52" s="19" t="s">
        <v>809</v>
      </c>
      <c r="D52" s="19" t="s">
        <v>810</v>
      </c>
      <c r="E52" s="19" t="s">
        <v>811</v>
      </c>
    </row>
    <row r="53" customFormat="false" ht="32.8" hidden="false" customHeight="false" outlineLevel="0" collapsed="false">
      <c r="A53" s="19" t="s">
        <v>798</v>
      </c>
      <c r="B53" s="19" t="s">
        <v>799</v>
      </c>
      <c r="C53" s="19" t="s">
        <v>812</v>
      </c>
      <c r="D53" s="19"/>
      <c r="E53" s="19" t="s">
        <v>813</v>
      </c>
    </row>
    <row r="54" customFormat="false" ht="15" hidden="false" customHeight="false" outlineLevel="0" collapsed="false">
      <c r="A54" s="19" t="s">
        <v>798</v>
      </c>
      <c r="B54" s="19" t="s">
        <v>799</v>
      </c>
      <c r="C54" s="19" t="s">
        <v>814</v>
      </c>
      <c r="D54" s="19" t="s">
        <v>815</v>
      </c>
      <c r="E54" s="19" t="s">
        <v>816</v>
      </c>
    </row>
    <row r="55" customFormat="false" ht="15" hidden="false" customHeight="false" outlineLevel="0" collapsed="false">
      <c r="A55" s="19" t="s">
        <v>798</v>
      </c>
      <c r="B55" s="19" t="s">
        <v>799</v>
      </c>
      <c r="C55" s="19" t="s">
        <v>817</v>
      </c>
      <c r="D55" s="19" t="s">
        <v>818</v>
      </c>
      <c r="E55" s="19" t="s">
        <v>819</v>
      </c>
    </row>
    <row r="56" customFormat="false" ht="15" hidden="false" customHeight="false" outlineLevel="0" collapsed="false">
      <c r="A56" s="19" t="s">
        <v>798</v>
      </c>
      <c r="B56" s="19" t="s">
        <v>799</v>
      </c>
      <c r="C56" s="19" t="s">
        <v>820</v>
      </c>
      <c r="D56" s="19" t="s">
        <v>821</v>
      </c>
      <c r="E56" s="19" t="s">
        <v>822</v>
      </c>
    </row>
    <row r="57" customFormat="false" ht="15" hidden="false" customHeight="false" outlineLevel="0" collapsed="false">
      <c r="A57" s="19" t="s">
        <v>798</v>
      </c>
      <c r="B57" s="19" t="s">
        <v>799</v>
      </c>
      <c r="C57" s="19" t="s">
        <v>823</v>
      </c>
      <c r="D57" s="19" t="s">
        <v>824</v>
      </c>
      <c r="E57" s="19" t="s">
        <v>825</v>
      </c>
    </row>
    <row r="58" customFormat="false" ht="15" hidden="false" customHeight="false" outlineLevel="0" collapsed="false">
      <c r="A58" s="19" t="s">
        <v>798</v>
      </c>
      <c r="B58" s="19" t="s">
        <v>799</v>
      </c>
      <c r="C58" s="19" t="s">
        <v>826</v>
      </c>
      <c r="D58" s="19" t="s">
        <v>827</v>
      </c>
      <c r="E58" s="19" t="s">
        <v>828</v>
      </c>
    </row>
    <row r="59" customFormat="false" ht="15" hidden="false" customHeight="false" outlineLevel="0" collapsed="false">
      <c r="A59" s="19" t="s">
        <v>798</v>
      </c>
      <c r="B59" s="19" t="s">
        <v>799</v>
      </c>
      <c r="C59" s="19" t="s">
        <v>829</v>
      </c>
      <c r="D59" s="19" t="s">
        <v>830</v>
      </c>
      <c r="E59" s="19" t="s">
        <v>831</v>
      </c>
    </row>
    <row r="60" customFormat="false" ht="15" hidden="false" customHeight="false" outlineLevel="0" collapsed="false">
      <c r="A60" s="19" t="s">
        <v>798</v>
      </c>
      <c r="B60" s="19" t="s">
        <v>799</v>
      </c>
      <c r="C60" s="19" t="s">
        <v>832</v>
      </c>
      <c r="D60" s="19" t="s">
        <v>833</v>
      </c>
      <c r="E60" s="19" t="s">
        <v>834</v>
      </c>
    </row>
    <row r="61" customFormat="false" ht="15" hidden="false" customHeight="false" outlineLevel="0" collapsed="false">
      <c r="A61" s="19" t="s">
        <v>835</v>
      </c>
      <c r="B61" s="19" t="s">
        <v>836</v>
      </c>
      <c r="C61" s="19" t="s">
        <v>837</v>
      </c>
      <c r="D61" s="19" t="s">
        <v>838</v>
      </c>
      <c r="E61" s="19" t="s">
        <v>839</v>
      </c>
    </row>
    <row r="62" customFormat="false" ht="15" hidden="false" customHeight="false" outlineLevel="0" collapsed="false">
      <c r="A62" s="19" t="s">
        <v>835</v>
      </c>
      <c r="B62" s="19" t="s">
        <v>836</v>
      </c>
      <c r="C62" s="19" t="s">
        <v>840</v>
      </c>
      <c r="D62" s="19" t="s">
        <v>841</v>
      </c>
      <c r="E62" s="19" t="s">
        <v>842</v>
      </c>
    </row>
    <row r="63" customFormat="false" ht="15" hidden="false" customHeight="false" outlineLevel="0" collapsed="false">
      <c r="A63" s="19" t="s">
        <v>835</v>
      </c>
      <c r="B63" s="19" t="s">
        <v>836</v>
      </c>
      <c r="C63" s="19" t="s">
        <v>843</v>
      </c>
      <c r="D63" s="19"/>
      <c r="E63" s="19" t="s">
        <v>842</v>
      </c>
    </row>
    <row r="64" customFormat="false" ht="15" hidden="false" customHeight="false" outlineLevel="0" collapsed="false">
      <c r="A64" s="19" t="s">
        <v>835</v>
      </c>
      <c r="B64" s="19" t="s">
        <v>836</v>
      </c>
      <c r="C64" s="19" t="s">
        <v>844</v>
      </c>
      <c r="D64" s="19" t="s">
        <v>845</v>
      </c>
      <c r="E64" s="19" t="s">
        <v>846</v>
      </c>
    </row>
    <row r="65" customFormat="false" ht="15" hidden="false" customHeight="false" outlineLevel="0" collapsed="false">
      <c r="A65" s="19" t="s">
        <v>835</v>
      </c>
      <c r="B65" s="19" t="s">
        <v>836</v>
      </c>
      <c r="C65" s="19" t="s">
        <v>847</v>
      </c>
      <c r="D65" s="19"/>
      <c r="E65" s="19" t="s">
        <v>848</v>
      </c>
    </row>
    <row r="66" customFormat="false" ht="15" hidden="false" customHeight="false" outlineLevel="0" collapsed="false">
      <c r="A66" s="19" t="s">
        <v>835</v>
      </c>
      <c r="B66" s="19" t="s">
        <v>836</v>
      </c>
      <c r="C66" s="19" t="s">
        <v>849</v>
      </c>
      <c r="D66" s="19" t="s">
        <v>850</v>
      </c>
      <c r="E66" s="19" t="s">
        <v>851</v>
      </c>
    </row>
    <row r="67" customFormat="false" ht="15" hidden="false" customHeight="false" outlineLevel="0" collapsed="false">
      <c r="A67" s="19" t="s">
        <v>835</v>
      </c>
      <c r="B67" s="19" t="s">
        <v>836</v>
      </c>
      <c r="C67" s="19" t="s">
        <v>852</v>
      </c>
      <c r="D67" s="19" t="s">
        <v>853</v>
      </c>
      <c r="E67" s="19" t="s">
        <v>854</v>
      </c>
    </row>
    <row r="68" customFormat="false" ht="15" hidden="false" customHeight="false" outlineLevel="0" collapsed="false">
      <c r="A68" s="19" t="s">
        <v>835</v>
      </c>
      <c r="B68" s="19" t="s">
        <v>855</v>
      </c>
      <c r="C68" s="19" t="s">
        <v>856</v>
      </c>
      <c r="D68" s="19" t="s">
        <v>857</v>
      </c>
      <c r="E68" s="19" t="s">
        <v>858</v>
      </c>
    </row>
    <row r="69" customFormat="false" ht="15" hidden="false" customHeight="false" outlineLevel="0" collapsed="false">
      <c r="A69" s="19" t="s">
        <v>835</v>
      </c>
      <c r="B69" s="19" t="s">
        <v>855</v>
      </c>
      <c r="C69" s="19" t="s">
        <v>859</v>
      </c>
      <c r="D69" s="19" t="s">
        <v>860</v>
      </c>
      <c r="E69" s="19" t="s">
        <v>816</v>
      </c>
    </row>
    <row r="70" customFormat="false" ht="15" hidden="false" customHeight="false" outlineLevel="0" collapsed="false">
      <c r="A70" s="19" t="s">
        <v>835</v>
      </c>
      <c r="B70" s="19" t="s">
        <v>855</v>
      </c>
      <c r="C70" s="19" t="s">
        <v>861</v>
      </c>
      <c r="D70" s="19" t="s">
        <v>862</v>
      </c>
      <c r="E70" s="19" t="s">
        <v>863</v>
      </c>
    </row>
    <row r="71" customFormat="false" ht="15" hidden="false" customHeight="false" outlineLevel="0" collapsed="false">
      <c r="A71" s="19" t="s">
        <v>835</v>
      </c>
      <c r="B71" s="19" t="s">
        <v>855</v>
      </c>
      <c r="C71" s="19" t="s">
        <v>864</v>
      </c>
      <c r="D71" s="19" t="s">
        <v>865</v>
      </c>
      <c r="E71" s="19" t="s">
        <v>866</v>
      </c>
    </row>
    <row r="72" customFormat="false" ht="15" hidden="false" customHeight="false" outlineLevel="0" collapsed="false">
      <c r="A72" s="19" t="s">
        <v>835</v>
      </c>
      <c r="B72" s="19" t="s">
        <v>855</v>
      </c>
      <c r="C72" s="19" t="s">
        <v>867</v>
      </c>
      <c r="D72" s="19" t="s">
        <v>868</v>
      </c>
      <c r="E72" s="19" t="s">
        <v>869</v>
      </c>
    </row>
    <row r="73" customFormat="false" ht="15" hidden="false" customHeight="false" outlineLevel="0" collapsed="false">
      <c r="A73" s="19" t="s">
        <v>870</v>
      </c>
      <c r="B73" s="19" t="s">
        <v>871</v>
      </c>
      <c r="C73" s="19" t="s">
        <v>872</v>
      </c>
      <c r="D73" s="19" t="s">
        <v>873</v>
      </c>
      <c r="E73" s="19" t="s">
        <v>874</v>
      </c>
    </row>
    <row r="74" customFormat="false" ht="15" hidden="false" customHeight="false" outlineLevel="0" collapsed="false">
      <c r="A74" s="19" t="s">
        <v>870</v>
      </c>
      <c r="B74" s="19" t="s">
        <v>871</v>
      </c>
      <c r="C74" s="19" t="s">
        <v>875</v>
      </c>
      <c r="D74" s="19"/>
      <c r="E74" s="19" t="s">
        <v>874</v>
      </c>
    </row>
    <row r="75" customFormat="false" ht="15" hidden="false" customHeight="false" outlineLevel="0" collapsed="false">
      <c r="A75" s="19" t="s">
        <v>870</v>
      </c>
      <c r="B75" s="19" t="s">
        <v>871</v>
      </c>
      <c r="C75" s="19" t="s">
        <v>876</v>
      </c>
      <c r="D75" s="19" t="s">
        <v>877</v>
      </c>
      <c r="E75" s="19" t="s">
        <v>874</v>
      </c>
    </row>
    <row r="76" customFormat="false" ht="15" hidden="false" customHeight="false" outlineLevel="0" collapsed="false">
      <c r="A76" s="19" t="s">
        <v>870</v>
      </c>
      <c r="B76" s="19" t="s">
        <v>871</v>
      </c>
      <c r="C76" s="19" t="s">
        <v>878</v>
      </c>
      <c r="D76" s="19" t="s">
        <v>879</v>
      </c>
      <c r="E76" s="19" t="s">
        <v>765</v>
      </c>
    </row>
    <row r="77" customFormat="false" ht="15" hidden="false" customHeight="false" outlineLevel="0" collapsed="false">
      <c r="A77" s="19" t="s">
        <v>870</v>
      </c>
      <c r="B77" s="19" t="s">
        <v>871</v>
      </c>
      <c r="C77" s="19" t="s">
        <v>880</v>
      </c>
      <c r="D77" s="19" t="s">
        <v>881</v>
      </c>
      <c r="E77" s="19" t="s">
        <v>771</v>
      </c>
    </row>
    <row r="78" customFormat="false" ht="15" hidden="false" customHeight="false" outlineLevel="0" collapsed="false">
      <c r="A78" s="19" t="s">
        <v>870</v>
      </c>
      <c r="B78" s="19" t="s">
        <v>871</v>
      </c>
      <c r="C78" s="19" t="s">
        <v>882</v>
      </c>
      <c r="D78" s="19"/>
      <c r="E78" s="19" t="s">
        <v>771</v>
      </c>
    </row>
    <row r="79" customFormat="false" ht="15" hidden="false" customHeight="false" outlineLevel="0" collapsed="false">
      <c r="A79" s="19" t="s">
        <v>870</v>
      </c>
      <c r="B79" s="19" t="s">
        <v>871</v>
      </c>
      <c r="C79" s="19" t="s">
        <v>883</v>
      </c>
      <c r="D79" s="19"/>
      <c r="E79" s="19" t="s">
        <v>874</v>
      </c>
    </row>
    <row r="80" customFormat="false" ht="15" hidden="false" customHeight="false" outlineLevel="0" collapsed="false">
      <c r="A80" s="19" t="s">
        <v>870</v>
      </c>
      <c r="B80" s="19" t="s">
        <v>871</v>
      </c>
      <c r="C80" s="19" t="s">
        <v>884</v>
      </c>
      <c r="D80" s="19"/>
      <c r="E80" s="19" t="s">
        <v>874</v>
      </c>
    </row>
    <row r="81" customFormat="false" ht="15" hidden="false" customHeight="false" outlineLevel="0" collapsed="false">
      <c r="A81" s="19" t="s">
        <v>870</v>
      </c>
      <c r="B81" s="19" t="s">
        <v>871</v>
      </c>
      <c r="C81" s="19" t="s">
        <v>885</v>
      </c>
      <c r="D81" s="19" t="s">
        <v>886</v>
      </c>
      <c r="E81" s="19" t="s">
        <v>874</v>
      </c>
    </row>
    <row r="82" customFormat="false" ht="15" hidden="false" customHeight="false" outlineLevel="0" collapsed="false">
      <c r="A82" s="19" t="s">
        <v>870</v>
      </c>
      <c r="B82" s="19" t="s">
        <v>871</v>
      </c>
      <c r="C82" s="19" t="s">
        <v>887</v>
      </c>
      <c r="D82" s="19"/>
      <c r="E82" s="19" t="s">
        <v>571</v>
      </c>
    </row>
    <row r="83" customFormat="false" ht="15" hidden="false" customHeight="false" outlineLevel="0" collapsed="false">
      <c r="A83" s="19" t="s">
        <v>870</v>
      </c>
      <c r="B83" s="19" t="s">
        <v>871</v>
      </c>
      <c r="C83" s="19" t="s">
        <v>888</v>
      </c>
      <c r="D83" s="19" t="s">
        <v>889</v>
      </c>
      <c r="E83" s="19" t="s">
        <v>874</v>
      </c>
    </row>
    <row r="84" customFormat="false" ht="15" hidden="false" customHeight="false" outlineLevel="0" collapsed="false">
      <c r="A84" s="19" t="s">
        <v>870</v>
      </c>
      <c r="B84" s="19" t="s">
        <v>871</v>
      </c>
      <c r="C84" s="19" t="s">
        <v>890</v>
      </c>
      <c r="D84" s="19"/>
      <c r="E84" s="19" t="s">
        <v>874</v>
      </c>
    </row>
    <row r="85" customFormat="false" ht="15" hidden="false" customHeight="false" outlineLevel="0" collapsed="false">
      <c r="A85" s="19" t="s">
        <v>870</v>
      </c>
      <c r="B85" s="19" t="s">
        <v>871</v>
      </c>
      <c r="C85" s="19" t="s">
        <v>891</v>
      </c>
      <c r="D85" s="19"/>
      <c r="E85" s="19" t="s">
        <v>874</v>
      </c>
    </row>
    <row r="86" customFormat="false" ht="15" hidden="false" customHeight="false" outlineLevel="0" collapsed="false">
      <c r="A86" s="19" t="s">
        <v>870</v>
      </c>
      <c r="B86" s="19" t="s">
        <v>871</v>
      </c>
      <c r="C86" s="19" t="s">
        <v>892</v>
      </c>
      <c r="D86" s="19" t="s">
        <v>893</v>
      </c>
      <c r="E86" s="19" t="s">
        <v>761</v>
      </c>
    </row>
    <row r="87" customFormat="false" ht="15" hidden="false" customHeight="false" outlineLevel="0" collapsed="false">
      <c r="A87" s="19" t="s">
        <v>870</v>
      </c>
      <c r="B87" s="19" t="s">
        <v>871</v>
      </c>
      <c r="C87" s="19" t="s">
        <v>894</v>
      </c>
      <c r="D87" s="19"/>
      <c r="E87" s="19" t="s">
        <v>761</v>
      </c>
    </row>
    <row r="88" customFormat="false" ht="15" hidden="false" customHeight="false" outlineLevel="0" collapsed="false">
      <c r="A88" s="19" t="s">
        <v>870</v>
      </c>
      <c r="B88" s="19" t="s">
        <v>871</v>
      </c>
      <c r="C88" s="19" t="s">
        <v>895</v>
      </c>
      <c r="D88" s="19" t="s">
        <v>896</v>
      </c>
      <c r="E88" s="19" t="s">
        <v>897</v>
      </c>
    </row>
    <row r="89" customFormat="false" ht="15" hidden="false" customHeight="false" outlineLevel="0" collapsed="false">
      <c r="A89" s="19" t="s">
        <v>870</v>
      </c>
      <c r="B89" s="19" t="s">
        <v>871</v>
      </c>
      <c r="C89" s="19" t="s">
        <v>898</v>
      </c>
      <c r="D89" s="19" t="s">
        <v>899</v>
      </c>
      <c r="E89" s="19" t="s">
        <v>571</v>
      </c>
    </row>
    <row r="90" customFormat="false" ht="15" hidden="false" customHeight="false" outlineLevel="0" collapsed="false">
      <c r="A90" s="19" t="s">
        <v>870</v>
      </c>
      <c r="B90" s="19" t="s">
        <v>871</v>
      </c>
      <c r="C90" s="19" t="s">
        <v>900</v>
      </c>
      <c r="D90" s="19" t="s">
        <v>901</v>
      </c>
      <c r="E90" s="19" t="s">
        <v>571</v>
      </c>
    </row>
    <row r="91" customFormat="false" ht="15" hidden="false" customHeight="false" outlineLevel="0" collapsed="false">
      <c r="A91" s="19" t="s">
        <v>870</v>
      </c>
      <c r="B91" s="19" t="s">
        <v>871</v>
      </c>
      <c r="C91" s="19" t="s">
        <v>902</v>
      </c>
      <c r="D91" s="19"/>
      <c r="E91" s="19" t="s">
        <v>874</v>
      </c>
    </row>
    <row r="92" customFormat="false" ht="15" hidden="false" customHeight="false" outlineLevel="0" collapsed="false">
      <c r="A92" s="19" t="s">
        <v>870</v>
      </c>
      <c r="B92" s="19" t="s">
        <v>903</v>
      </c>
      <c r="C92" s="19" t="s">
        <v>904</v>
      </c>
      <c r="D92" s="19"/>
      <c r="E92" s="19" t="s">
        <v>905</v>
      </c>
    </row>
    <row r="93" customFormat="false" ht="15" hidden="false" customHeight="false" outlineLevel="0" collapsed="false">
      <c r="A93" s="19" t="s">
        <v>870</v>
      </c>
      <c r="B93" s="19" t="s">
        <v>903</v>
      </c>
      <c r="C93" s="19" t="s">
        <v>906</v>
      </c>
      <c r="D93" s="19" t="s">
        <v>907</v>
      </c>
      <c r="E93" s="19" t="s">
        <v>874</v>
      </c>
    </row>
    <row r="94" customFormat="false" ht="15" hidden="false" customHeight="false" outlineLevel="0" collapsed="false">
      <c r="A94" s="19" t="s">
        <v>870</v>
      </c>
      <c r="B94" s="19" t="s">
        <v>903</v>
      </c>
      <c r="C94" s="19" t="s">
        <v>908</v>
      </c>
      <c r="D94" s="19"/>
      <c r="E94" s="19" t="s">
        <v>874</v>
      </c>
    </row>
    <row r="95" customFormat="false" ht="22.35" hidden="false" customHeight="false" outlineLevel="0" collapsed="false">
      <c r="A95" s="19" t="s">
        <v>870</v>
      </c>
      <c r="B95" s="19" t="s">
        <v>903</v>
      </c>
      <c r="C95" s="19" t="s">
        <v>909</v>
      </c>
      <c r="D95" s="19" t="s">
        <v>910</v>
      </c>
      <c r="E95" s="19" t="s">
        <v>911</v>
      </c>
    </row>
    <row r="96" customFormat="false" ht="22.35" hidden="false" customHeight="false" outlineLevel="0" collapsed="false">
      <c r="A96" s="19" t="s">
        <v>870</v>
      </c>
      <c r="B96" s="19" t="s">
        <v>903</v>
      </c>
      <c r="C96" s="19" t="s">
        <v>912</v>
      </c>
      <c r="D96" s="19" t="s">
        <v>913</v>
      </c>
      <c r="E96" s="19" t="s">
        <v>911</v>
      </c>
    </row>
    <row r="97" customFormat="false" ht="22.35" hidden="false" customHeight="false" outlineLevel="0" collapsed="false">
      <c r="A97" s="19" t="s">
        <v>870</v>
      </c>
      <c r="B97" s="19" t="s">
        <v>903</v>
      </c>
      <c r="C97" s="19" t="s">
        <v>914</v>
      </c>
      <c r="D97" s="19"/>
      <c r="E97" s="19" t="s">
        <v>905</v>
      </c>
    </row>
    <row r="98" customFormat="false" ht="15" hidden="false" customHeight="false" outlineLevel="0" collapsed="false">
      <c r="A98" s="19" t="s">
        <v>870</v>
      </c>
      <c r="B98" s="19" t="s">
        <v>903</v>
      </c>
      <c r="C98" s="19" t="s">
        <v>915</v>
      </c>
      <c r="D98" s="19" t="s">
        <v>916</v>
      </c>
      <c r="E98" s="19" t="s">
        <v>874</v>
      </c>
    </row>
    <row r="99" customFormat="false" ht="22.35" hidden="false" customHeight="false" outlineLevel="0" collapsed="false">
      <c r="A99" s="19" t="s">
        <v>870</v>
      </c>
      <c r="B99" s="19" t="s">
        <v>903</v>
      </c>
      <c r="C99" s="19" t="s">
        <v>917</v>
      </c>
      <c r="D99" s="19" t="s">
        <v>918</v>
      </c>
      <c r="E99" s="19" t="s">
        <v>819</v>
      </c>
    </row>
    <row r="100" customFormat="false" ht="15" hidden="false" customHeight="false" outlineLevel="0" collapsed="false">
      <c r="A100" s="19" t="s">
        <v>870</v>
      </c>
      <c r="B100" s="19" t="s">
        <v>903</v>
      </c>
      <c r="C100" s="19" t="s">
        <v>919</v>
      </c>
      <c r="D100" s="19" t="s">
        <v>920</v>
      </c>
      <c r="E100" s="19" t="s">
        <v>834</v>
      </c>
    </row>
    <row r="101" customFormat="false" ht="15" hidden="false" customHeight="false" outlineLevel="0" collapsed="false">
      <c r="A101" s="19" t="s">
        <v>870</v>
      </c>
      <c r="B101" s="19" t="s">
        <v>903</v>
      </c>
      <c r="C101" s="19" t="s">
        <v>921</v>
      </c>
      <c r="D101" s="19" t="s">
        <v>922</v>
      </c>
      <c r="E101" s="19" t="s">
        <v>637</v>
      </c>
    </row>
    <row r="102" customFormat="false" ht="15" hidden="false" customHeight="false" outlineLevel="0" collapsed="false">
      <c r="A102" s="19" t="s">
        <v>870</v>
      </c>
      <c r="B102" s="19" t="s">
        <v>903</v>
      </c>
      <c r="C102" s="19" t="s">
        <v>923</v>
      </c>
      <c r="D102" s="19" t="s">
        <v>924</v>
      </c>
      <c r="E102" s="19" t="s">
        <v>874</v>
      </c>
    </row>
    <row r="103" customFormat="false" ht="15" hidden="false" customHeight="false" outlineLevel="0" collapsed="false">
      <c r="A103" s="19" t="s">
        <v>870</v>
      </c>
      <c r="B103" s="19" t="s">
        <v>903</v>
      </c>
      <c r="C103" s="19" t="s">
        <v>925</v>
      </c>
      <c r="D103" s="19" t="s">
        <v>926</v>
      </c>
      <c r="E103" s="19" t="s">
        <v>637</v>
      </c>
    </row>
    <row r="104" customFormat="false" ht="15" hidden="false" customHeight="false" outlineLevel="0" collapsed="false">
      <c r="A104" s="19" t="s">
        <v>927</v>
      </c>
      <c r="B104" s="19" t="s">
        <v>928</v>
      </c>
      <c r="C104" s="19" t="s">
        <v>929</v>
      </c>
      <c r="D104" s="19" t="s">
        <v>930</v>
      </c>
      <c r="E104" s="19" t="s">
        <v>931</v>
      </c>
    </row>
    <row r="105" customFormat="false" ht="15" hidden="false" customHeight="false" outlineLevel="0" collapsed="false">
      <c r="A105" s="19" t="s">
        <v>927</v>
      </c>
      <c r="B105" s="19" t="s">
        <v>928</v>
      </c>
      <c r="C105" s="19" t="s">
        <v>932</v>
      </c>
      <c r="D105" s="19" t="s">
        <v>933</v>
      </c>
      <c r="E105" s="19" t="s">
        <v>934</v>
      </c>
    </row>
    <row r="106" customFormat="false" ht="15" hidden="false" customHeight="false" outlineLevel="0" collapsed="false">
      <c r="A106" s="19" t="s">
        <v>927</v>
      </c>
      <c r="B106" s="19" t="s">
        <v>928</v>
      </c>
      <c r="C106" s="19" t="s">
        <v>935</v>
      </c>
      <c r="D106" s="19" t="s">
        <v>936</v>
      </c>
      <c r="E106" s="19" t="s">
        <v>834</v>
      </c>
    </row>
    <row r="107" customFormat="false" ht="15" hidden="false" customHeight="false" outlineLevel="0" collapsed="false">
      <c r="A107" s="19" t="s">
        <v>927</v>
      </c>
      <c r="B107" s="19" t="s">
        <v>928</v>
      </c>
      <c r="C107" s="19" t="s">
        <v>937</v>
      </c>
      <c r="D107" s="19" t="s">
        <v>938</v>
      </c>
      <c r="E107" s="19" t="s">
        <v>905</v>
      </c>
    </row>
    <row r="108" customFormat="false" ht="15" hidden="false" customHeight="false" outlineLevel="0" collapsed="false">
      <c r="A108" s="19" t="s">
        <v>927</v>
      </c>
      <c r="B108" s="19" t="s">
        <v>928</v>
      </c>
      <c r="C108" s="19" t="s">
        <v>939</v>
      </c>
      <c r="D108" s="19" t="s">
        <v>940</v>
      </c>
      <c r="E108" s="19" t="s">
        <v>905</v>
      </c>
    </row>
    <row r="109" customFormat="false" ht="15" hidden="false" customHeight="false" outlineLevel="0" collapsed="false">
      <c r="A109" s="19" t="s">
        <v>927</v>
      </c>
      <c r="B109" s="19" t="s">
        <v>928</v>
      </c>
      <c r="C109" s="19" t="s">
        <v>941</v>
      </c>
      <c r="D109" s="19" t="s">
        <v>942</v>
      </c>
      <c r="E109" s="19" t="s">
        <v>931</v>
      </c>
    </row>
    <row r="110" customFormat="false" ht="15" hidden="false" customHeight="false" outlineLevel="0" collapsed="false">
      <c r="A110" s="19" t="s">
        <v>927</v>
      </c>
      <c r="B110" s="19" t="s">
        <v>928</v>
      </c>
      <c r="C110" s="19" t="s">
        <v>943</v>
      </c>
      <c r="D110" s="19" t="s">
        <v>944</v>
      </c>
      <c r="E110" s="19" t="s">
        <v>842</v>
      </c>
    </row>
    <row r="111" customFormat="false" ht="15" hidden="false" customHeight="false" outlineLevel="0" collapsed="false">
      <c r="A111" s="19" t="s">
        <v>927</v>
      </c>
      <c r="B111" s="19" t="s">
        <v>928</v>
      </c>
      <c r="C111" s="19" t="s">
        <v>945</v>
      </c>
      <c r="D111" s="19" t="s">
        <v>946</v>
      </c>
      <c r="E111" s="19" t="s">
        <v>947</v>
      </c>
    </row>
    <row r="112" customFormat="false" ht="22.35" hidden="false" customHeight="false" outlineLevel="0" collapsed="false">
      <c r="A112" s="19" t="s">
        <v>927</v>
      </c>
      <c r="B112" s="19" t="s">
        <v>928</v>
      </c>
      <c r="C112" s="19" t="s">
        <v>948</v>
      </c>
      <c r="D112" s="19"/>
      <c r="E112" s="19" t="s">
        <v>949</v>
      </c>
    </row>
    <row r="113" customFormat="false" ht="15" hidden="false" customHeight="false" outlineLevel="0" collapsed="false">
      <c r="A113" s="19" t="s">
        <v>927</v>
      </c>
      <c r="B113" s="19" t="s">
        <v>928</v>
      </c>
      <c r="C113" s="19" t="s">
        <v>950</v>
      </c>
      <c r="D113" s="19" t="s">
        <v>951</v>
      </c>
      <c r="E113" s="19" t="s">
        <v>637</v>
      </c>
    </row>
    <row r="114" customFormat="false" ht="22.35" hidden="false" customHeight="false" outlineLevel="0" collapsed="false">
      <c r="A114" s="19" t="s">
        <v>927</v>
      </c>
      <c r="B114" s="19" t="s">
        <v>928</v>
      </c>
      <c r="C114" s="19" t="s">
        <v>952</v>
      </c>
      <c r="D114" s="19"/>
      <c r="E114" s="19" t="s">
        <v>949</v>
      </c>
    </row>
    <row r="115" customFormat="false" ht="15" hidden="false" customHeight="false" outlineLevel="0" collapsed="false">
      <c r="A115" s="19" t="s">
        <v>927</v>
      </c>
      <c r="B115" s="19" t="s">
        <v>928</v>
      </c>
      <c r="C115" s="19" t="s">
        <v>953</v>
      </c>
      <c r="D115" s="19" t="s">
        <v>954</v>
      </c>
      <c r="E115" s="19" t="s">
        <v>637</v>
      </c>
    </row>
    <row r="116" customFormat="false" ht="15" hidden="false" customHeight="false" outlineLevel="0" collapsed="false">
      <c r="A116" s="19" t="s">
        <v>927</v>
      </c>
      <c r="B116" s="19" t="s">
        <v>928</v>
      </c>
      <c r="C116" s="19" t="s">
        <v>955</v>
      </c>
      <c r="D116" s="19" t="s">
        <v>956</v>
      </c>
      <c r="E116" s="19" t="s">
        <v>957</v>
      </c>
    </row>
    <row r="117" customFormat="false" ht="22.35" hidden="false" customHeight="false" outlineLevel="0" collapsed="false">
      <c r="A117" s="19" t="s">
        <v>927</v>
      </c>
      <c r="B117" s="19" t="s">
        <v>928</v>
      </c>
      <c r="C117" s="19" t="s">
        <v>958</v>
      </c>
      <c r="D117" s="19"/>
      <c r="E117" s="19" t="s">
        <v>949</v>
      </c>
    </row>
    <row r="118" customFormat="false" ht="15" hidden="false" customHeight="false" outlineLevel="0" collapsed="false">
      <c r="A118" s="19" t="s">
        <v>959</v>
      </c>
      <c r="B118" s="19" t="s">
        <v>960</v>
      </c>
      <c r="C118" s="19" t="s">
        <v>961</v>
      </c>
      <c r="D118" s="19"/>
      <c r="E118" s="19" t="s">
        <v>962</v>
      </c>
    </row>
    <row r="119" customFormat="false" ht="15" hidden="false" customHeight="false" outlineLevel="0" collapsed="false">
      <c r="A119" s="19" t="s">
        <v>959</v>
      </c>
      <c r="B119" s="19" t="s">
        <v>960</v>
      </c>
      <c r="C119" s="19" t="s">
        <v>963</v>
      </c>
      <c r="D119" s="19" t="s">
        <v>964</v>
      </c>
      <c r="E119" s="19" t="s">
        <v>819</v>
      </c>
    </row>
    <row r="120" customFormat="false" ht="15" hidden="false" customHeight="false" outlineLevel="0" collapsed="false">
      <c r="A120" s="19" t="s">
        <v>959</v>
      </c>
      <c r="B120" s="19" t="s">
        <v>960</v>
      </c>
      <c r="C120" s="19" t="s">
        <v>965</v>
      </c>
      <c r="D120" s="19" t="s">
        <v>966</v>
      </c>
      <c r="E120" s="19" t="s">
        <v>967</v>
      </c>
    </row>
    <row r="121" customFormat="false" ht="15" hidden="false" customHeight="false" outlineLevel="0" collapsed="false">
      <c r="A121" s="19" t="s">
        <v>959</v>
      </c>
      <c r="B121" s="19" t="s">
        <v>960</v>
      </c>
      <c r="C121" s="19" t="s">
        <v>968</v>
      </c>
      <c r="D121" s="19" t="s">
        <v>969</v>
      </c>
      <c r="E121" s="19" t="s">
        <v>970</v>
      </c>
    </row>
    <row r="122" customFormat="false" ht="15" hidden="false" customHeight="false" outlineLevel="0" collapsed="false">
      <c r="A122" s="19" t="s">
        <v>959</v>
      </c>
      <c r="B122" s="19" t="s">
        <v>960</v>
      </c>
      <c r="C122" s="19" t="s">
        <v>971</v>
      </c>
      <c r="D122" s="19" t="s">
        <v>972</v>
      </c>
      <c r="E122" s="19" t="s">
        <v>962</v>
      </c>
    </row>
    <row r="123" customFormat="false" ht="15" hidden="false" customHeight="false" outlineLevel="0" collapsed="false">
      <c r="A123" s="19" t="s">
        <v>959</v>
      </c>
      <c r="B123" s="19" t="s">
        <v>960</v>
      </c>
      <c r="C123" s="19" t="s">
        <v>973</v>
      </c>
      <c r="D123" s="19" t="s">
        <v>974</v>
      </c>
      <c r="E123" s="19" t="s">
        <v>819</v>
      </c>
    </row>
    <row r="124" customFormat="false" ht="15" hidden="false" customHeight="false" outlineLevel="0" collapsed="false">
      <c r="A124" s="19" t="s">
        <v>959</v>
      </c>
      <c r="B124" s="19" t="s">
        <v>960</v>
      </c>
      <c r="C124" s="19" t="s">
        <v>975</v>
      </c>
      <c r="D124" s="19" t="s">
        <v>976</v>
      </c>
      <c r="E124" s="19" t="s">
        <v>834</v>
      </c>
    </row>
    <row r="125" customFormat="false" ht="15" hidden="false" customHeight="false" outlineLevel="0" collapsed="false">
      <c r="A125" s="19" t="s">
        <v>959</v>
      </c>
      <c r="B125" s="19" t="s">
        <v>960</v>
      </c>
      <c r="C125" s="19" t="s">
        <v>977</v>
      </c>
      <c r="D125" s="19"/>
      <c r="E125" s="19" t="s">
        <v>819</v>
      </c>
    </row>
    <row r="126" customFormat="false" ht="15" hidden="false" customHeight="false" outlineLevel="0" collapsed="false">
      <c r="A126" s="19" t="s">
        <v>959</v>
      </c>
      <c r="B126" s="19" t="s">
        <v>960</v>
      </c>
      <c r="C126" s="19" t="s">
        <v>978</v>
      </c>
      <c r="D126" s="19" t="s">
        <v>979</v>
      </c>
      <c r="E126" s="19" t="s">
        <v>819</v>
      </c>
    </row>
    <row r="127" customFormat="false" ht="15" hidden="false" customHeight="false" outlineLevel="0" collapsed="false">
      <c r="A127" s="19" t="s">
        <v>959</v>
      </c>
      <c r="B127" s="19" t="s">
        <v>960</v>
      </c>
      <c r="C127" s="19" t="s">
        <v>980</v>
      </c>
      <c r="D127" s="19" t="s">
        <v>981</v>
      </c>
      <c r="E127" s="19" t="s">
        <v>911</v>
      </c>
    </row>
    <row r="128" customFormat="false" ht="15" hidden="false" customHeight="false" outlineLevel="0" collapsed="false">
      <c r="A128" s="19" t="s">
        <v>959</v>
      </c>
      <c r="B128" s="19" t="s">
        <v>960</v>
      </c>
      <c r="C128" s="19" t="s">
        <v>982</v>
      </c>
      <c r="D128" s="19"/>
      <c r="E128" s="19" t="s">
        <v>962</v>
      </c>
    </row>
    <row r="129" customFormat="false" ht="15" hidden="false" customHeight="false" outlineLevel="0" collapsed="false">
      <c r="A129" s="19" t="s">
        <v>959</v>
      </c>
      <c r="B129" s="19" t="s">
        <v>960</v>
      </c>
      <c r="C129" s="19" t="s">
        <v>983</v>
      </c>
      <c r="D129" s="19"/>
      <c r="E129" s="19" t="s">
        <v>962</v>
      </c>
    </row>
    <row r="130" customFormat="false" ht="15" hidden="false" customHeight="false" outlineLevel="0" collapsed="false">
      <c r="A130" s="19" t="s">
        <v>959</v>
      </c>
      <c r="B130" s="19" t="s">
        <v>960</v>
      </c>
      <c r="C130" s="19" t="s">
        <v>984</v>
      </c>
      <c r="D130" s="19"/>
      <c r="E130" s="19" t="s">
        <v>967</v>
      </c>
    </row>
    <row r="131" customFormat="false" ht="15" hidden="false" customHeight="false" outlineLevel="0" collapsed="false">
      <c r="A131" s="19" t="s">
        <v>959</v>
      </c>
      <c r="B131" s="19" t="s">
        <v>960</v>
      </c>
      <c r="C131" s="19" t="s">
        <v>985</v>
      </c>
      <c r="D131" s="19"/>
      <c r="E131" s="19" t="s">
        <v>962</v>
      </c>
    </row>
    <row r="132" customFormat="false" ht="15" hidden="false" customHeight="false" outlineLevel="0" collapsed="false">
      <c r="A132" s="19" t="s">
        <v>959</v>
      </c>
      <c r="B132" s="19" t="s">
        <v>960</v>
      </c>
      <c r="C132" s="19" t="s">
        <v>986</v>
      </c>
      <c r="D132" s="19"/>
      <c r="E132" s="19" t="s">
        <v>962</v>
      </c>
    </row>
  </sheetData>
  <autoFilter ref="A1:E132"/>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2026-10-28T12:46:37Z</dcterms:created>
  <dc:creator>openpyxl</dc:creator>
  <dc:description/>
  <dc:language>en-US</dc:language>
  <cp:lastModifiedBy/>
  <dcterms:modified xsi:type="dcterms:W3CDTF">2026-10-28T12:46:37Z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