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1. Ce que l'outil utilise" sheetId="2" state="visible" r:id="rId4"/>
    <sheet name="2. Si on change une version" sheetId="3" state="visible" r:id="rId5"/>
    <sheet name="3. Tests à réaliser" sheetId="4" state="visible" r:id="rId6"/>
    <sheet name="4. Procédure de montée" sheetId="5" state="visible" r:id="rId7"/>
    <sheet name="5. Relevé des postes" sheetId="6" state="visible" r:id="rId8"/>
    <sheet name="Annexe — modules Python"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<sst xmlns="http://schemas.openxmlformats.org/spreadsheetml/2006/main" count="461" uniqueCount="276">
  <si>
    <t xml:space="preserve">VISU PTBG 1.0.0 — versions et dépendances</t>
  </si>
  <si>
    <t xml:space="preserve">Ce classeur dit de quoi l'outil a besoin pour fonctionner, ce qui reste à tester, et ce qu'il faut vérifier avant de changer une version (requis REQ_COMMON_KH_3004).</t>
  </si>
  <si>
    <t xml:space="preserve">En une phrase</t>
  </si>
  <si>
    <t xml:space="preserve">L'outil a besoin de Python 3.11 (avec Tkinter, fourni avec Python) et de 2 bibliothèques : numpy (calculs) et matplotlib (courbes et PDF). matplotlib amène lui-même 9 petites bibliothèques. Les 11 versions sont figées dans le fichier requirements.txt, les mêmes pour Windows 11 et SLES 15 SP7.</t>
  </si>
  <si>
    <t xml:space="preserve">La demande de Sébastien</t>
  </si>
  <si>
    <t xml:space="preserve">Requis REQ 3004</t>
  </si>
  <si>
    <t xml:space="preserve">« All additional packages or library implemented shall be documented and strictly aligned with the kernel version. »</t>
  </si>
  <si>
    <t xml:space="preserve">Son commentaire</t>
  </si>
  <si>
    <t xml:space="preserve">« Il y a des packages transverses toute version et d’autre plus restrictifs avec independances. Le plus fréquemment il y a une sensibilité à la version de python, l’OS, et le cœur 32 ou 63 bits »</t>
  </si>
  <si>
    <t xml:space="preserve">La réponse courte</t>
  </si>
  <si>
    <t xml:space="preserve">Sur les 11 bibliothèques, 5 sont « transverses » (écrites en Python pur : le même fichier marche partout) et 6 sont « restrictives » (compilées : il en faut une version par version de Python, par système et par 32/64 bits). Ce sont ces 6-là qu'il faut surveiller à chaque montée de version. L'onglet 1 le montre ligne par ligne.</t>
  </si>
  <si>
    <t xml:space="preserve">Ce qu'il y a dans ce classeur</t>
  </si>
  <si>
    <t xml:space="preserve">1. Ce que l'outil utilise</t>
  </si>
  <si>
    <t xml:space="preserve">La liste de tout ce qu'il faut (Python, Tk, 11 bibliothèques) : à quoi ça sert, quelle version, laquelle est sur le PC Spyder, et le risque à la montée de version.</t>
  </si>
  <si>
    <t xml:space="preserve">2. Si on change une version</t>
  </si>
  <si>
    <t xml:space="preserve">Les cas prévisibles (nouveau Python, nouvelle bibliothèque, autre système…) : ce qui se passe et ce qu'il faut faire, avec un feu vert / orange / rouge.</t>
  </si>
  <si>
    <t xml:space="preserve">3. Tests à réaliser</t>
  </si>
  <si>
    <t xml:space="preserve">Où lancer les tests (poste Windows, VM Linux), ce qui est déjà constaté, ce qui reste à faire.</t>
  </si>
  <si>
    <t xml:space="preserve">4. Procédure de montée</t>
  </si>
  <si>
    <t xml:space="preserve">Les étapes à suivre avant de changer une version (cases à remplir).</t>
  </si>
  <si>
    <t xml:space="preserve">5. Relevé des postes</t>
  </si>
  <si>
    <t xml:space="preserve">Les versions trouvées sur chaque poste, comparées à la référence (cases à remplir).</t>
  </si>
  <si>
    <t xml:space="preserve">Annexe — modules Python</t>
  </si>
  <si>
    <t xml:space="preserve">Les modules livrés avec Python que l'outil utilise (rien à installer).</t>
  </si>
  <si>
    <t xml:space="preserve">Petit lexique</t>
  </si>
  <si>
    <t xml:space="preserve">Version figée</t>
  </si>
  <si>
    <t xml:space="preserve">Version exacte notée dans requirements.txt, celle de référence (ex. numpy 2.4.6).</t>
  </si>
  <si>
    <t xml:space="preserve">Directe / amenée par…</t>
  </si>
  <si>
    <t xml:space="preserve">« Directe » : appelée par le code de l'outil. « Amenée par matplotlib » : installée automatiquement parce que matplotlib en a besoin ; l'outil ne l'appelle pas lui-même.</t>
  </si>
  <si>
    <t xml:space="preserve">Python pur (transverse)</t>
  </si>
  <si>
    <t xml:space="preserve">Bibliothèque écrite en Python : un seul fichier valable pour toute version de Python, Windows comme Linux, 32 comme 64 bits. Risque faible.</t>
  </si>
  <si>
    <t xml:space="preserve">Compilée (restrictive)</t>
  </si>
  <si>
    <t xml:space="preserve">Bibliothèque contenant du code machine : il en existe une version par version de Python × système × 32/64 bits. Si la bonne version n'existe pas, on ne peut pas l'installer. À vérifier à chaque montée.</t>
  </si>
  <si>
    <t xml:space="preserve">Wheel</t>
  </si>
  <si>
    <t xml:space="preserve">Fichier d'installation prêt à l'emploi d'une bibliothèque (pas besoin de compiler).</t>
  </si>
  <si>
    <t xml:space="preserve">Les couleurs</t>
  </si>
  <si>
    <t xml:space="preserve">VERT</t>
  </si>
  <si>
    <t xml:space="preserve">Rien à changer : identique, ou compatible avec les versions de référence.</t>
  </si>
  <si>
    <t xml:space="preserve">ORANGE</t>
  </si>
  <si>
    <t xml:space="preserve">Possible, mais à vérifier (nouvelle campagne de tests, version à adapter).</t>
  </si>
  <si>
    <t xml:space="preserve">ROUGE</t>
  </si>
  <si>
    <t xml:space="preserve">Bloquant ou non prévu.</t>
  </si>
  <si>
    <t xml:space="preserve">À REMPLIR</t>
  </si>
  <si>
    <t xml:space="preserve">Case à compléter par la personne qui fait l'essai.</t>
  </si>
  <si>
    <t xml:space="preserve">Chiffres clés (calculés)</t>
  </si>
  <si>
    <t xml:space="preserve">Bibliothèques figées</t>
  </si>
  <si>
    <t xml:space="preserve">dont compilées (à surveiller)</t>
  </si>
  <si>
    <t xml:space="preserve">Écarts entre le PC Spyder et la référence</t>
  </si>
  <si>
    <t xml:space="preserve">Postes à tester</t>
  </si>
  <si>
    <t xml:space="preserve">dont tests encore à lancer</t>
  </si>
  <si>
    <t xml:space="preserve">De quoi l'outil a-t-il besoin, en quelle version, et qu'est-ce qui risque de casser si on change cette version ?</t>
  </si>
  <si>
    <t xml:space="preserve">N°</t>
  </si>
  <si>
    <t xml:space="preserve">Élément</t>
  </si>
  <si>
    <t xml:space="preserve">À quoi ça sert</t>
  </si>
  <si>
    <t xml:space="preserve">Pourquoi il est là</t>
  </si>
  <si>
    <t xml:space="preserve">Versions de Python acceptées</t>
  </si>
  <si>
    <t xml:space="preserve">Type</t>
  </si>
  <si>
    <t xml:space="preserve">Version de référence (requirements.txt)</t>
  </si>
  <si>
    <t xml:space="preserve">Version sur le PC Spyder (30/10/2026)</t>
  </si>
  <si>
    <t xml:space="preserve">Même version sur le PC ?</t>
  </si>
  <si>
    <t xml:space="preserve">Risque si on change sa version</t>
  </si>
  <si>
    <t xml:space="preserve">Python</t>
  </si>
  <si>
    <t xml:space="preserve">Le langage qui fait tourner l'outil</t>
  </si>
  <si>
    <t xml:space="preserve">Indispensable</t>
  </si>
  <si>
    <t xml:space="preserve">—</t>
  </si>
  <si>
    <t xml:space="preserve">Interpréteur</t>
  </si>
  <si>
    <t xml:space="preserve">3.11</t>
  </si>
  <si>
    <t xml:space="preserve">3.11.10</t>
  </si>
  <si>
    <t xml:space="preserve">Oui (même 3.11)</t>
  </si>
  <si>
    <t xml:space="preserve">ORANGE — élevé : chaque bibliothèque compilée doit exister pour le nouveau Python (onglet 2)</t>
  </si>
  <si>
    <t xml:space="preserve">Tcl/Tk (Tkinter)</t>
  </si>
  <si>
    <t xml:space="preserve">Les fenêtres de l'outil</t>
  </si>
  <si>
    <t xml:space="preserve">Fourni avec Python</t>
  </si>
  <si>
    <t xml:space="preserve">8.6</t>
  </si>
  <si>
    <t xml:space="preserve">8.6.13</t>
  </si>
  <si>
    <t xml:space="preserve">Oui (même 8.6)</t>
  </si>
  <si>
    <t xml:space="preserve">ORANGE — moyen : Tk 9 demande matplotlib 3.10 ou plus (onglet 2)</t>
  </si>
  <si>
    <t xml:space="preserve">numpy</t>
  </si>
  <si>
    <t xml:space="preserve">Calculs sur les tableaux de mesures (lecture des CSV, base de temps, curseurs)</t>
  </si>
  <si>
    <t xml:space="preserve">Directe (appelée par le code)</t>
  </si>
  <si>
    <t xml:space="preserve">3.11 et plus</t>
  </si>
  <si>
    <t xml:space="preserve">Compilée (restrictive) : une version par Python, système et 32/64 bits</t>
  </si>
  <si>
    <t xml:space="preserve">2.4.6</t>
  </si>
  <si>
    <t xml:space="preserve">2.2.0</t>
  </si>
  <si>
    <t xml:space="preserve">ORANGE — moyen : compilée et utilisée par le code, refaire les tests</t>
  </si>
  <si>
    <t xml:space="preserve">matplotlib</t>
  </si>
  <si>
    <t xml:space="preserve">Courbes, Time Base Monitor, curseurs, rapport PDF</t>
  </si>
  <si>
    <t xml:space="preserve">3.10 et plus</t>
  </si>
  <si>
    <t xml:space="preserve">3.10.9</t>
  </si>
  <si>
    <t xml:space="preserve">3.9.3</t>
  </si>
  <si>
    <t xml:space="preserve">contourpy</t>
  </si>
  <si>
    <t xml:space="preserve">Dessin de contours (l'outil ne s'en sert pas)</t>
  </si>
  <si>
    <t xml:space="preserve">Amenée par matplotlib</t>
  </si>
  <si>
    <t xml:space="preserve">1.3.3</t>
  </si>
  <si>
    <t xml:space="preserve">1.3.1</t>
  </si>
  <si>
    <t xml:space="preserve">ORANGE — moyen : compilée (vérifier qu'elle existe pour le nouveau Python), pas appelée par le code</t>
  </si>
  <si>
    <t xml:space="preserve">cycler</t>
  </si>
  <si>
    <t xml:space="preserve">Cycle des couleurs des courbes</t>
  </si>
  <si>
    <t xml:space="preserve">3.8 et plus</t>
  </si>
  <si>
    <t xml:space="preserve">Python pur (transverse) : le même fichier partout</t>
  </si>
  <si>
    <t xml:space="preserve">0.12.1</t>
  </si>
  <si>
    <t xml:space="preserve">VERT — faible : Python pur, valable partout</t>
  </si>
  <si>
    <t xml:space="preserve">fonttools</t>
  </si>
  <si>
    <t xml:space="preserve">Polices de caractères intégrées au PDF</t>
  </si>
  <si>
    <t xml:space="preserve">4.65.0</t>
  </si>
  <si>
    <t xml:space="preserve">4.55.2</t>
  </si>
  <si>
    <t xml:space="preserve">kiwisolver</t>
  </si>
  <si>
    <t xml:space="preserve">Calcul de la mise en page des graphiques</t>
  </si>
  <si>
    <t xml:space="preserve">1.4.9</t>
  </si>
  <si>
    <t xml:space="preserve">1.4.7</t>
  </si>
  <si>
    <t xml:space="preserve">packaging</t>
  </si>
  <si>
    <t xml:space="preserve">Comparaison de numéros de version</t>
  </si>
  <si>
    <t xml:space="preserve">26.2</t>
  </si>
  <si>
    <t xml:space="preserve">24.2</t>
  </si>
  <si>
    <t xml:space="preserve">pillow</t>
  </si>
  <si>
    <t xml:space="preserve">Images (icônes de la barre d'outils du graphique)</t>
  </si>
  <si>
    <t xml:space="preserve">12.3.0</t>
  </si>
  <si>
    <t xml:space="preserve">11.0.0</t>
  </si>
  <si>
    <t xml:space="preserve">pyparsing</t>
  </si>
  <si>
    <t xml:space="preserve">Lecture des formules mathématiques dans les textes</t>
  </si>
  <si>
    <t xml:space="preserve">3.9 et plus</t>
  </si>
  <si>
    <t xml:space="preserve">3.3.2</t>
  </si>
  <si>
    <t xml:space="preserve">3.2.0</t>
  </si>
  <si>
    <t xml:space="preserve">python-dateutil</t>
  </si>
  <si>
    <t xml:space="preserve">Gestion des dates</t>
  </si>
  <si>
    <t xml:space="preserve">toutes</t>
  </si>
  <si>
    <t xml:space="preserve">2.9.0.post0</t>
  </si>
  <si>
    <t xml:space="preserve">six</t>
  </si>
  <si>
    <t xml:space="preserve">Compatibilité Python 2 / Python 3</t>
  </si>
  <si>
    <t xml:space="preserve">Amenée par python-dateutil</t>
  </si>
  <si>
    <t xml:space="preserve">1.17.0</t>
  </si>
  <si>
    <t xml:space="preserve">Toutes ces versions existent pour Windows 11 64 bits et pour SLES 15 SP7 64 bits (fichiers d'installation vérifiés, sans compilation). Le 32 bits n'est pas une cible du projet.</t>
  </si>
  <si>
    <t xml:space="preserve">Le PC Spyder n'a pas les versions de référence (on ne peut rien y installer) ; l'outil s'y lance et les tests automatiques passent avec ces versions : voir l'onglet 3.</t>
  </si>
  <si>
    <t xml:space="preserve">Que se passe-t-il si on passe à une autre version de Python, d'une bibliothèque ou de système, et que faut-il faire ?</t>
  </si>
  <si>
    <t xml:space="preserve">Si on…</t>
  </si>
  <si>
    <t xml:space="preserve">Ce qui se passe</t>
  </si>
  <si>
    <t xml:space="preserve">Ce qu'il faut faire</t>
  </si>
  <si>
    <t xml:space="preserve">Feu</t>
  </si>
  <si>
    <t xml:space="preserve">Passer de Python 3.11 à 3.12, 3.13 ou 3.14</t>
  </si>
  <si>
    <t xml:space="preserve">Les versions figées de numpy et matplotlib existent pour ces Python. Rien à changer dans l'outil ni dans requirements.txt.</t>
  </si>
  <si>
    <t xml:space="preserve">Lancer les tests sur le poste (onglet 4).</t>
  </si>
  <si>
    <t xml:space="preserve">Passer à Python 3.15</t>
  </si>
  <si>
    <t xml:space="preserve">Les versions figées n'existent pas pour Python 3.15 : il faudra numpy 2.5.2 ou plus, matplotlib 3.11.2 ou plus et contourpy 1.4.0 ou plus.</t>
  </si>
  <si>
    <t xml:space="preserve">Mettre à jour requirements.txt puis refaire toute la procédure (onglet 4).</t>
  </si>
  <si>
    <t xml:space="preserve">Revenir à Python 3.10</t>
  </si>
  <si>
    <t xml:space="preserve">Le code est écrit pour Python 3.10, mais numpy doit redescendre en 2.2 au maximum (numpy 2.3 et plus exigent Python 3.11) et contourpy en 1.3.2 au maximum.</t>
  </si>
  <si>
    <t xml:space="preserve">Adapter requirements.txt et lancer les tests.</t>
  </si>
  <si>
    <t xml:space="preserve">Rester en Python 3.6 (texte du requis REQ 3001)</t>
  </si>
  <si>
    <t xml:space="preserve">Impossible avec les bibliothèques actuelles : les dernières versions compatibles sont numpy 1.19 et matplotlib 3.3 (Python 3.6 n'est plus maintenu depuis 2021). Sébastien indique qu'un Python 3.11 est disponible sur SLES 15.</t>
  </si>
  <si>
    <t xml:space="preserve">Rien : 3.6 est lu comme un minimum (point ouvert n° 3 du récapitulatif des requis).</t>
  </si>
  <si>
    <t xml:space="preserve">Monter numpy en 2.5</t>
  </si>
  <si>
    <t xml:space="preserve">numpy 2.5 exige Python 3.12 ou plus : impossible en restant en Python 3.11.</t>
  </si>
  <si>
    <t xml:space="preserve">Monter d'abord Python (ligne 1), puis lancer les tests.</t>
  </si>
  <si>
    <t xml:space="preserve">Monter matplotlib en 3.11</t>
  </si>
  <si>
    <t xml:space="preserve">Version compatible avec Python 3.11 ; elle ne supporte plus Python 3.10.</t>
  </si>
  <si>
    <t xml:space="preserve">Lancer les tests avant de l'adopter.</t>
  </si>
  <si>
    <t xml:space="preserve">Monter contourpy en 1.4</t>
  </si>
  <si>
    <t xml:space="preserve">contourpy 1.4 exige Python 3.12 ou plus : impossible en Python 3.11.</t>
  </si>
  <si>
    <t xml:space="preserve">Garder contourpy 1.3.3 tant qu'on est en Python 3.11.</t>
  </si>
  <si>
    <t xml:space="preserve">Monter python-dateutil en 3.0</t>
  </si>
  <si>
    <t xml:space="preserve">Cette version ajoute une nouvelle bibliothèque (tzdata) à installer.</t>
  </si>
  <si>
    <t xml:space="preserve">Évaluer avant d'adopter (non retenu pour l'instant).</t>
  </si>
  <si>
    <t xml:space="preserve">Le PC Spyder garde numpy 2.2.0 et matplotlib 3.9.3</t>
  </si>
  <si>
    <t xml:space="preserve">L'outil s'y lance et ouvre un fichier du projet ; les tests passent avec ces versions (30/10/2026, onglet 3).</t>
  </si>
  <si>
    <t xml:space="preserve">Rien. Relancer les tests si Spyder est mis à jour.</t>
  </si>
  <si>
    <t xml:space="preserve">Le PC Spyder passe aux versions de référence (numpy 2.4.6, matplotlib 3.10.9)</t>
  </si>
  <si>
    <t xml:space="preserve">Ce sont les versions de référence (requirements.txt).</t>
  </si>
  <si>
    <t xml:space="preserve">Lancer les tests sur le PC.</t>
  </si>
  <si>
    <t xml:space="preserve">Utiliser Tk 9 (certains Python récents)</t>
  </si>
  <si>
    <t xml:space="preserve">Les fenêtres de l'outil demandent alors matplotlib 3.10 ou plus. Avec un matplotlib plus ancien, l'outil refuse de démarrer avec un message clair. Windows (python.org, Spyder) et SLES 15 SP7 fournissent Tk 8.6 : pas concerné aujourd'hui.</t>
  </si>
  <si>
    <t xml:space="preserve">Vérifier la version de matplotlib.</t>
  </si>
  <si>
    <t xml:space="preserve">Passer de Windows 11 à SLES 15 SP7 (ou l'inverse)</t>
  </si>
  <si>
    <t xml:space="preserve">Mêmes sources, mêmes versions figées. Les bibliothèques compilées existent dans les deux versions (Windows et Linux). SLES doit avoir glibc 2.28 ou plus (SP7 a 2.38).</t>
  </si>
  <si>
    <t xml:space="preserve">À faire sur la VM Linux SLES 15 SP7 fournie par l'entreprise : installer, lancer les tests et faire l'essai de réception de 15 minutes (docs/COMPATIBILITE_OS.md § 5).</t>
  </si>
  <si>
    <t xml:space="preserve">Passer en 32 bits</t>
  </si>
  <si>
    <t xml:space="preserve">Non prévu : les cibles sont en 64 bits, le 32 bits n'est pas une cible du projet (certaines bibliothèques n'existent même pas en 32 bits).</t>
  </si>
  <si>
    <t xml:space="preserve">Rester en 64 bits.</t>
  </si>
  <si>
    <t xml:space="preserve">Où faut-il lancer les tests automatiques (145 tests fournis avec l'outil), qu'est-ce qui est déjà constaté, et qu'est-ce qui reste à faire ?</t>
  </si>
  <si>
    <t xml:space="preserve">Poste</t>
  </si>
  <si>
    <t xml:space="preserve">Tk</t>
  </si>
  <si>
    <t xml:space="preserve">État</t>
  </si>
  <si>
    <t xml:space="preserve">Comment faire</t>
  </si>
  <si>
    <t xml:space="preserve">1. PC Windows 11 / Spyder 6 (poste de l'alternance)</t>
  </si>
  <si>
    <t xml:space="preserve">VERT — FAIT le 30/10/2026 : l'outil se lance et ouvre un fichier du projet ; 145 tests lancés, 144 OK. Le seul en erreur cherchait le Word de la spécification, absent du dossier (corrigé : ce test est maintenant sauté sans le Word)</t>
  </si>
  <si>
    <t xml:space="preserve">Dans la console Spyder : import sys, puis %cd &lt;dossier de l'outil&gt;, puis !"{sys.executable}" -m unittest discover -s tests -v. Résultat attendu : « OK » à la fin (« OK (skipped=1) » si le Word de la spécification n'est pas dans docs/specification/).</t>
  </si>
  <si>
    <t xml:space="preserve">2. VM Linux SLES 15 SP7 fournie par l'entreprise</t>
  </si>
  <si>
    <t xml:space="preserve">À FAIRE — quand la VM sera disponible</t>
  </si>
  <si>
    <t xml:space="preserve">Installer (install/installer_sles.sh), lancer python -m unittest discover -s tests -v, puis l'essai de réception de 15 minutes (docs/COMPATIBILITE_OS.md § 5).</t>
  </si>
  <si>
    <t xml:space="preserve">3. Avant toute montée de version</t>
  </si>
  <si>
    <t xml:space="preserve">nouvelle</t>
  </si>
  <si>
    <t xml:space="preserve">À FAIRE — à chaque montée</t>
  </si>
  <si>
    <t xml:space="preserve">Suivre l'onglet 4 (procédure de montée).</t>
  </si>
  <si>
    <t xml:space="preserve">Les tests vérifient tout l'outil : lecture des CSV (y compris abîmés), base de temps, curseurs, graphiques, rapport PDF, projet, et les vraies fenêtres de l'interface (des fenêtres s'ouvrent et se ferment pendant les tests, c'est normal).</t>
  </si>
  <si>
    <t xml:space="preserve">Une fois un test fait : remplacer « À FAIRE » par « VERT — OK » (ou « ROUGE — échec » avec le détail) et reporter les versions dans l'onglet 5.</t>
  </si>
  <si>
    <t xml:space="preserve">Que faut-il faire, dans l'ordre, avant d'adopter une nouvelle version ? (remplir les cases jaunes)</t>
  </si>
  <si>
    <t xml:space="preserve">Étape</t>
  </si>
  <si>
    <t xml:space="preserve">Quoi faire</t>
  </si>
  <si>
    <t xml:space="preserve">Comment (commande ou document)</t>
  </si>
  <si>
    <t xml:space="preserve">Fait le</t>
  </si>
  <si>
    <t xml:space="preserve">Par</t>
  </si>
  <si>
    <t xml:space="preserve">Résultat / remarque</t>
  </si>
  <si>
    <t xml:space="preserve">Regarder dans l'onglet 2 si le cas est déjà connu.</t>
  </si>
  <si>
    <t xml:space="preserve">Lire les notes de version des bibliothèques changées (ce qui est supprimé ou modifié, versions de Python acceptées).</t>
  </si>
  <si>
    <t xml:space="preserve">Site pypi.org de chaque bibliothèque</t>
  </si>
  <si>
    <t xml:space="preserve">Vérifier que les fichiers d'installation existent pour Windows 11.</t>
  </si>
  <si>
    <t xml:space="preserve">python -m pip download --only-binary=:all: --platform win_amd64 --python-version 3.11 -r requirements.txt -d wheels_win</t>
  </si>
  <si>
    <t xml:space="preserve">Vérifier que les fichiers d'installation existent pour SLES 15 SP7.</t>
  </si>
  <si>
    <t xml:space="preserve">Même commande avec --platform manylinux2014_x86_64 --platform manylinux_2_28_x86_64</t>
  </si>
  <si>
    <t xml:space="preserve">Installer les nouvelles versions dans un environnement neuf et relever les versions.</t>
  </si>
  <si>
    <t xml:space="preserve">python tools/audit_environnement.py</t>
  </si>
  <si>
    <t xml:space="preserve">Lancer tous les tests : aucun échec accepté.</t>
  </si>
  <si>
    <t xml:space="preserve">python -m unittest discover -s tests -v   (dans la console Spyder : %cd &lt;dossier de l'outil&gt; puis !"{sys.executable}" -m unittest discover -s tests -v, après import sys)</t>
  </si>
  <si>
    <t xml:space="preserve">Mesurer la vitesse sur de vrais fichiers PTBG.</t>
  </si>
  <si>
    <t xml:space="preserve">python tools/banc_performance.py fichiers.csv</t>
  </si>
  <si>
    <t xml:space="preserve">Faire l'essai de réception de 15 minutes sur chaque poste (PC Windows, VM Linux SLES 15 SP7 fournie par l'entreprise).</t>
  </si>
  <si>
    <t xml:space="preserve">docs/COMPATIBILITE_OS.md § 5</t>
  </si>
  <si>
    <t xml:space="preserve">Mettre à jour requirements.txt, docs/DEPENDANCES.md, CHANGELOG.md et ce classeur.</t>
  </si>
  <si>
    <t xml:space="preserve">Quelles versions trouve-t-on sur chaque poste ? (une colonne par poste ; orange = différent de la référence, ce qui n'est pas forcément un problème : les tests le diront)</t>
  </si>
  <si>
    <t xml:space="preserve">Référence (requirements.txt)</t>
  </si>
  <si>
    <t xml:space="preserve">PC Windows 11 / Spyder 6</t>
  </si>
  <si>
    <t xml:space="preserve">VM Linux SLES 15 SP7 fournie par l'entreprise</t>
  </si>
  <si>
    <t xml:space="preserve">Autre poste</t>
  </si>
  <si>
    <t xml:space="preserve">Système</t>
  </si>
  <si>
    <t xml:space="preserve">Windows 11 ou SLES 15 SP7 (64 bits)</t>
  </si>
  <si>
    <t xml:space="preserve">Windows 11 (10.0.26100)</t>
  </si>
  <si>
    <t xml:space="preserve">Tcl/Tk</t>
  </si>
  <si>
    <t xml:space="preserve">Résultat de l'essai</t>
  </si>
  <si>
    <t xml:space="preserve">Outil lancé, fichier du projet ouvert : OK. Tests : 144 sur 145 OK (le dernier cherchait le Word de la spécification, absent ; corrigé). Essai de 15 min (COMPATIBILITE_OS.md § 5) : à faire</t>
  </si>
  <si>
    <t xml:space="preserve">Date du relevé</t>
  </si>
  <si>
    <t xml:space="preserve">30/10/2026</t>
  </si>
  <si>
    <t xml:space="preserve">Pour remplir une colonne : dans l'outil, menu Information &gt; Sources, partie « Environnement d'exécution et bibliothèques » (ou lancer python tools/audit_environnement.py).</t>
  </si>
  <si>
    <t xml:space="preserve">Annexe — modules livrés avec Python</t>
  </si>
  <si>
    <t xml:space="preserve">Quels modules de la bibliothèque standard l'outil utilise-t-il ? (fournis avec Python : rien à installer, même version que Python)</t>
  </si>
  <si>
    <t xml:space="preserve">Module(s)</t>
  </si>
  <si>
    <t xml:space="preserve">À quoi il sert dans l'outil</t>
  </si>
  <si>
    <t xml:space="preserve">Particularité selon le système ?</t>
  </si>
  <si>
    <t xml:space="preserve">tkinter (et tkinter.ttk, filedialog, messagebox, simpledialog, font)</t>
  </si>
  <si>
    <t xml:space="preserve">toute l'interface ; exige Tcl/Tk (voir § 3 bis)</t>
  </si>
  <si>
    <t xml:space="preserve">SLES : paquet python311-tk à installer</t>
  </si>
  <si>
    <t xml:space="preserve">csv</t>
  </si>
  <si>
    <t xml:space="preserve">lecture des CSV, export des résultats du traitement conditionnel</t>
  </si>
  <si>
    <t xml:space="preserve">Non</t>
  </si>
  <si>
    <t xml:space="preserve">io</t>
  </si>
  <si>
    <t xml:space="preserve">flux texte décodé sur le fichier binaire (avancement de lecture)</t>
  </si>
  <si>
    <t xml:space="preserve">codecs</t>
  </si>
  <si>
    <t xml:space="preserve">contrôle UTF-8 par blocs et lecture de secours Windows-1252 des octets non UTF-8 (signalée, REQ 2302)</t>
  </si>
  <si>
    <t xml:space="preserve">hashlib</t>
  </si>
  <si>
    <t xml:space="preserve">SHA-256 des CSV, du projet et des modules (en-tête de rapport, Information &gt; Sources)</t>
  </si>
  <si>
    <t xml:space="preserve">json</t>
  </si>
  <si>
    <t xml:space="preserve">préférences et fichier projet</t>
  </si>
  <si>
    <t xml:space="preserve">re</t>
  </si>
  <si>
    <t xml:space="preserve">formats de temps, unités dans les en-têtes, groupes binaires NOM[i]</t>
  </si>
  <si>
    <t xml:space="preserve">math</t>
  </si>
  <si>
    <t xml:space="preserve">valeurs finies, graduations de l'axe des temps</t>
  </si>
  <si>
    <t xml:space="preserve">datetime</t>
  </si>
  <si>
    <t xml:space="preserve">dates absolues, horloge de la barre d'état, journal</t>
  </si>
  <si>
    <t xml:space="preserve">dataclasses, enum, typing, collections, itertools, copy</t>
  </si>
  <si>
    <t xml:space="preserve">structures de données ; itertools (chain, repeat) pour la lecture par blocs</t>
  </si>
  <si>
    <t xml:space="preserve">threading, queue, traceback</t>
  </si>
  <si>
    <t xml:space="preserve">lecture et analyse en arrière-plan (REQ 4105)</t>
  </si>
  <si>
    <t xml:space="preserve">pathlib, os</t>
  </si>
  <si>
    <t xml:space="preserve">chemins portables, renommage atomique du PDF, chemins relatifs du projet</t>
  </si>
  <si>
    <t xml:space="preserve">uuid</t>
  </si>
  <si>
    <t xml:space="preserve">identifiants des fichiers et paquets</t>
  </si>
  <si>
    <t xml:space="preserve">textwrap</t>
  </si>
  <si>
    <t xml:space="preserve">mise en page des textes du PDF</t>
  </si>
  <si>
    <t xml:space="preserve">getpass</t>
  </si>
  <si>
    <t xml:space="preserve">nom de l'utilisateur (barre d'état, émetteur du rapport)</t>
  </si>
  <si>
    <t xml:space="preserve">platform, struct, sys, importlib (importlib.metadata)</t>
  </si>
  <si>
    <t xml:space="preserve">relevé de l'environnement (REQ 3004)</t>
  </si>
  <si>
    <t xml:space="preserve">subprocess, ctypes</t>
  </si>
  <si>
    <t xml:space="preserve">ouverture du PDF (xdg-open sous Linux), écran haute résolution et mémoire du processus sous Windows</t>
  </si>
  <si>
    <t xml:space="preserve">Windows : appels isolés dans ptbg/system/compat.py</t>
  </si>
  <si>
    <t xml:space="preserve">resource</t>
  </si>
  <si>
    <t xml:space="preserve">mémoire maximale du processus sous Linux (banc de performance) ; module propre à Unix, importé seulement hors Windows (system/compat.py)</t>
  </si>
  <si>
    <t xml:space="preserve">Linux seulement (l'outil ne l'importe pas sous Windows)</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</si>
</sst>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F4E78"/>
      <name val="Arial"/>
      <family val="0"/>
      <charset val="1"/>
    </font>
    <font>
      <i val="true"/>
      <sz val="9"/>
      <color rgb="FF595959"/>
      <name val="Arial"/>
      <family val="0"/>
      <charset val="1"/>
    </font>
    <font>
      <b val="true"/>
      <sz val="12"/>
      <color rgb="FF1F4E78"/>
      <name val="Arial"/>
      <family val="0"/>
      <charset val="1"/>
    </font>
    <font>
      <b val="true"/>
      <sz val="10"/>
      <name val="Arial"/>
      <family val="0"/>
      <charset val="1"/>
    </font>
    <font>
      <sz val="10"/>
      <name val="Arial"/>
      <family val="0"/>
      <charset val="1"/>
    </font>
    <font>
      <b val="true"/>
      <sz val="10"/>
      <color rgb="FFFFFFFF"/>
      <name val="Arial"/>
      <family val="0"/>
      <charset val="1"/>
    </font>
  </fonts>
  <fills count="7">
    <fill>
      <patternFill patternType="none"/>
    </fill>
    <fill>
      <patternFill patternType="gray125"/>
    </fill>
    <fill>
      <patternFill patternType="solid">
        <fgColor rgb="FFC6EFCE"/>
        <bgColor rgb="FFDDEBF7"/>
      </patternFill>
    </fill>
    <fill>
      <patternFill patternType="solid">
        <fgColor rgb="FFFFEB9C"/>
        <bgColor rgb="FFFFF2CC"/>
      </patternFill>
    </fill>
    <fill>
      <patternFill patternType="solid">
        <fgColor rgb="FFF4CCCC"/>
        <bgColor rgb="FFCCCCFF"/>
      </patternFill>
    </fill>
    <fill>
      <patternFill patternType="solid">
        <fgColor rgb="FFFFF2CC"/>
        <bgColor rgb="FFFFEB9C"/>
      </patternFill>
    </fill>
    <fill>
      <patternFill patternType="solid">
        <fgColor rgb="FF1F4E78"/>
        <bgColor rgb="FF00336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4" fontId="7" fillId="5" borderId="0" xfId="0" applyFont="true" applyBorder="false" applyAlignment="true" applyProtection="false">
      <alignment horizontal="general" vertical="top" textRotation="0" wrapText="true" indent="0" shrinkToFit="false"/>
      <protection locked="true" hidden="false"/>
    </xf>
    <xf numFmtId="165" fontId="8" fillId="0" borderId="0" xfId="0" applyFont="true" applyBorder="false" applyAlignment="true" applyProtection="false">
      <alignment horizontal="left" vertical="top" textRotation="0" wrapText="false" indent="0" shrinkToFit="false"/>
      <protection locked="true" hidden="false"/>
    </xf>
    <xf numFmtId="164" fontId="9" fillId="6"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bgColor rgb="FFC6EFCE"/>
        </patternFill>
      </fill>
    </dxf>
    <dxf>
      <fill>
        <patternFill>
          <bgColor rgb="FFFFEB9C"/>
        </patternFill>
      </fill>
    </dxf>
    <dxf>
      <fill>
        <patternFill>
          <bgColor rgb="FFF4CCCC"/>
        </patternFill>
      </fill>
    </dxf>
    <dxf>
      <fill>
        <patternFill>
          <bgColor rgb="FFFFF2CC"/>
        </patternFill>
      </fill>
    </dxf>
    <dxf>
      <fill>
        <patternFill>
          <bgColor rgb="FFDDEBF7"/>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4CCCC"/>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3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9.7" hidden="false" customHeight="false" outlineLevel="0" collapsed="false">
      <c r="A1" s="1" t="s">
        <v>0</v>
      </c>
    </row>
    <row r="2" customFormat="false" ht="15" hidden="false" customHeight="false" outlineLevel="0" collapsed="false">
      <c r="A2" s="2" t="s">
        <v>1</v>
      </c>
    </row>
    <row r="5" customFormat="false" ht="15" hidden="false" customHeight="false" outlineLevel="0" collapsed="false">
      <c r="A5" s="3" t="s">
        <v>2</v>
      </c>
    </row>
    <row r="6" customFormat="false" ht="45.75" hidden="false" customHeight="true" outlineLevel="0" collapsed="false">
      <c r="A6" s="4"/>
      <c r="B6" s="5" t="s">
        <v>3</v>
      </c>
    </row>
    <row r="8" customFormat="false" ht="15" hidden="false" customHeight="false" outlineLevel="0" collapsed="false">
      <c r="A8" s="3" t="s">
        <v>4</v>
      </c>
    </row>
    <row r="9" customFormat="false" ht="31.5" hidden="false" customHeight="true" outlineLevel="0" collapsed="false">
      <c r="A9" s="4" t="s">
        <v>5</v>
      </c>
      <c r="B9" s="5" t="s">
        <v>6</v>
      </c>
    </row>
    <row r="10" customFormat="false" ht="31.5" hidden="false" customHeight="true" outlineLevel="0" collapsed="false">
      <c r="A10" s="4" t="s">
        <v>7</v>
      </c>
      <c r="B10" s="5" t="s">
        <v>8</v>
      </c>
    </row>
    <row r="11" customFormat="false" ht="45.75" hidden="false" customHeight="true" outlineLevel="0" collapsed="false">
      <c r="A11" s="4" t="s">
        <v>9</v>
      </c>
      <c r="B11" s="5" t="s">
        <v>10</v>
      </c>
    </row>
    <row r="13" customFormat="false" ht="15" hidden="false" customHeight="false" outlineLevel="0" collapsed="false">
      <c r="A13" s="3" t="s">
        <v>11</v>
      </c>
    </row>
    <row r="14" customFormat="false" ht="31.5" hidden="false" customHeight="true" outlineLevel="0" collapsed="false">
      <c r="A14" s="4" t="s">
        <v>12</v>
      </c>
      <c r="B14" s="5" t="s">
        <v>13</v>
      </c>
    </row>
    <row r="15" customFormat="false" ht="31.5" hidden="false" customHeight="true" outlineLevel="0" collapsed="false">
      <c r="A15" s="4" t="s">
        <v>14</v>
      </c>
      <c r="B15" s="5" t="s">
        <v>15</v>
      </c>
    </row>
    <row r="16" customFormat="false" ht="18" hidden="false" customHeight="true" outlineLevel="0" collapsed="false">
      <c r="A16" s="4" t="s">
        <v>16</v>
      </c>
      <c r="B16" s="5" t="s">
        <v>17</v>
      </c>
    </row>
    <row r="17" customFormat="false" ht="18" hidden="false" customHeight="true" outlineLevel="0" collapsed="false">
      <c r="A17" s="4" t="s">
        <v>18</v>
      </c>
      <c r="B17" s="5" t="s">
        <v>19</v>
      </c>
    </row>
    <row r="18" customFormat="false" ht="18" hidden="false" customHeight="true" outlineLevel="0" collapsed="false">
      <c r="A18" s="4" t="s">
        <v>20</v>
      </c>
      <c r="B18" s="5" t="s">
        <v>21</v>
      </c>
    </row>
    <row r="19" customFormat="false" ht="18" hidden="false" customHeight="true" outlineLevel="0" collapsed="false">
      <c r="A19" s="4" t="s">
        <v>22</v>
      </c>
      <c r="B19" s="5" t="s">
        <v>23</v>
      </c>
    </row>
    <row r="21" customFormat="false" ht="15" hidden="false" customHeight="false" outlineLevel="0" collapsed="false">
      <c r="A21" s="3" t="s">
        <v>24</v>
      </c>
    </row>
    <row r="22" customFormat="false" ht="18" hidden="false" customHeight="true" outlineLevel="0" collapsed="false">
      <c r="A22" s="4" t="s">
        <v>25</v>
      </c>
      <c r="B22" s="5" t="s">
        <v>26</v>
      </c>
    </row>
    <row r="23" customFormat="false" ht="31.5" hidden="false" customHeight="true" outlineLevel="0" collapsed="false">
      <c r="A23" s="4" t="s">
        <v>27</v>
      </c>
      <c r="B23" s="5" t="s">
        <v>28</v>
      </c>
    </row>
    <row r="24" customFormat="false" ht="31.5" hidden="false" customHeight="true" outlineLevel="0" collapsed="false">
      <c r="A24" s="4" t="s">
        <v>29</v>
      </c>
      <c r="B24" s="5" t="s">
        <v>30</v>
      </c>
    </row>
    <row r="25" customFormat="false" ht="31.5" hidden="false" customHeight="true" outlineLevel="0" collapsed="false">
      <c r="A25" s="4" t="s">
        <v>31</v>
      </c>
      <c r="B25" s="5" t="s">
        <v>32</v>
      </c>
    </row>
    <row r="26" customFormat="false" ht="18" hidden="false" customHeight="true" outlineLevel="0" collapsed="false">
      <c r="A26" s="4" t="s">
        <v>33</v>
      </c>
      <c r="B26" s="5" t="s">
        <v>34</v>
      </c>
    </row>
    <row r="28" customFormat="false" ht="15" hidden="false" customHeight="false" outlineLevel="0" collapsed="false">
      <c r="A28" s="3" t="s">
        <v>35</v>
      </c>
    </row>
    <row r="29" customFormat="false" ht="18" hidden="false" customHeight="true" outlineLevel="0" collapsed="false">
      <c r="A29" s="6" t="s">
        <v>36</v>
      </c>
      <c r="B29" s="5" t="s">
        <v>37</v>
      </c>
    </row>
    <row r="30" customFormat="false" ht="18" hidden="false" customHeight="true" outlineLevel="0" collapsed="false">
      <c r="A30" s="7" t="s">
        <v>38</v>
      </c>
      <c r="B30" s="5" t="s">
        <v>39</v>
      </c>
    </row>
    <row r="31" customFormat="false" ht="18" hidden="false" customHeight="true" outlineLevel="0" collapsed="false">
      <c r="A31" s="8" t="s">
        <v>40</v>
      </c>
      <c r="B31" s="5" t="s">
        <v>41</v>
      </c>
    </row>
    <row r="32" customFormat="false" ht="18" hidden="false" customHeight="true" outlineLevel="0" collapsed="false">
      <c r="A32" s="9" t="s">
        <v>42</v>
      </c>
      <c r="B32" s="5" t="s">
        <v>43</v>
      </c>
    </row>
    <row r="34" customFormat="false" ht="15" hidden="false" customHeight="false" outlineLevel="0" collapsed="false">
      <c r="A34" s="3" t="s">
        <v>44</v>
      </c>
    </row>
    <row r="35" customFormat="false" ht="18" hidden="false" customHeight="true" outlineLevel="0" collapsed="false">
      <c r="A35" s="4" t="s">
        <v>45</v>
      </c>
      <c r="B35" s="10" t="n">
        <f aca="false">COUNTA('1. Ce que l''outil utilise'!B7:B17)</f>
        <v>11</v>
      </c>
    </row>
    <row r="36" customFormat="false" ht="18" hidden="false" customHeight="true" outlineLevel="0" collapsed="false">
      <c r="A36" s="4" t="s">
        <v>46</v>
      </c>
      <c r="B36" s="10" t="n">
        <f aca="false">COUNTIF('1. Ce que l''outil utilise'!F7:F17,"Compilée*")</f>
        <v>6</v>
      </c>
    </row>
    <row r="37" customFormat="false" ht="31.5" hidden="false" customHeight="true" outlineLevel="0" collapsed="false">
      <c r="A37" s="4" t="s">
        <v>47</v>
      </c>
      <c r="B37" s="10" t="n">
        <f aca="false">COUNTIF('1. Ce que l''outil utilise'!I5:I17,"Non*")</f>
        <v>8</v>
      </c>
    </row>
    <row r="38" customFormat="false" ht="18" hidden="false" customHeight="true" outlineLevel="0" collapsed="false">
      <c r="A38" s="4" t="s">
        <v>48</v>
      </c>
      <c r="B38" s="10" t="n">
        <f aca="false">COUNTA('3. Tests à réaliser'!A5:A6)</f>
        <v>2</v>
      </c>
    </row>
    <row r="39" customFormat="false" ht="18" hidden="false" customHeight="true" outlineLevel="0" collapsed="false">
      <c r="A39" s="4" t="s">
        <v>49</v>
      </c>
      <c r="B39" s="10" t="n">
        <f aca="false">COUNTIF('3. Tests à réaliser'!F5:F6,"À FAIRE*")</f>
        <v>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7"/>
    <col collapsed="false" customWidth="true" hidden="false" outlineLevel="0" max="3" min="3" style="0" width="38"/>
    <col collapsed="false" customWidth="true" hidden="false" outlineLevel="0" max="4" min="4" style="0" width="22"/>
    <col collapsed="false" customWidth="true" hidden="false" outlineLevel="0" max="5" min="5" style="0" width="13"/>
    <col collapsed="false" customWidth="true" hidden="false" outlineLevel="0" max="6" min="6" style="0" width="32"/>
    <col collapsed="false" customWidth="true" hidden="false" outlineLevel="0" max="8" min="7" style="0" width="14"/>
    <col collapsed="false" customWidth="true" hidden="false" outlineLevel="0" max="9" min="9" style="0" width="17"/>
    <col collapsed="false" customWidth="true" hidden="false" outlineLevel="0" max="10" min="10" style="0" width="50"/>
  </cols>
  <sheetData>
    <row r="1" customFormat="false" ht="19.7" hidden="false" customHeight="false" outlineLevel="0" collapsed="false">
      <c r="A1" s="1" t="s">
        <v>12</v>
      </c>
    </row>
    <row r="2" customFormat="false" ht="15" hidden="false" customHeight="false" outlineLevel="0" collapsed="false">
      <c r="A2" s="2" t="s">
        <v>50</v>
      </c>
    </row>
    <row r="4" customFormat="false" ht="45.75" hidden="false" customHeight="true" outlineLevel="0" collapsed="false">
      <c r="A4" s="11" t="s">
        <v>51</v>
      </c>
      <c r="B4" s="11" t="s">
        <v>52</v>
      </c>
      <c r="C4" s="11" t="s">
        <v>53</v>
      </c>
      <c r="D4" s="11" t="s">
        <v>54</v>
      </c>
      <c r="E4" s="11" t="s">
        <v>55</v>
      </c>
      <c r="F4" s="11" t="s">
        <v>56</v>
      </c>
      <c r="G4" s="11" t="s">
        <v>57</v>
      </c>
      <c r="H4" s="11" t="s">
        <v>58</v>
      </c>
      <c r="I4" s="11" t="s">
        <v>59</v>
      </c>
      <c r="J4" s="11" t="s">
        <v>60</v>
      </c>
    </row>
    <row r="5" customFormat="false" ht="31.5" hidden="false" customHeight="true" outlineLevel="0" collapsed="false">
      <c r="A5" s="12" t="n">
        <v>1</v>
      </c>
      <c r="B5" s="12" t="s">
        <v>61</v>
      </c>
      <c r="C5" s="12" t="s">
        <v>62</v>
      </c>
      <c r="D5" s="12" t="s">
        <v>63</v>
      </c>
      <c r="E5" s="12" t="s">
        <v>64</v>
      </c>
      <c r="F5" s="12" t="s">
        <v>65</v>
      </c>
      <c r="G5" s="12" t="s">
        <v>66</v>
      </c>
      <c r="H5" s="12" t="s">
        <v>67</v>
      </c>
      <c r="I5" s="12" t="s">
        <v>68</v>
      </c>
      <c r="J5" s="12" t="s">
        <v>69</v>
      </c>
    </row>
    <row r="6" customFormat="false" ht="31.5" hidden="false" customHeight="true" outlineLevel="0" collapsed="false">
      <c r="A6" s="12" t="n">
        <v>2</v>
      </c>
      <c r="B6" s="12" t="s">
        <v>70</v>
      </c>
      <c r="C6" s="12" t="s">
        <v>71</v>
      </c>
      <c r="D6" s="12" t="s">
        <v>72</v>
      </c>
      <c r="E6" s="12" t="s">
        <v>64</v>
      </c>
      <c r="F6" s="12" t="s">
        <v>72</v>
      </c>
      <c r="G6" s="12" t="s">
        <v>73</v>
      </c>
      <c r="H6" s="12" t="s">
        <v>74</v>
      </c>
      <c r="I6" s="12" t="s">
        <v>75</v>
      </c>
      <c r="J6" s="12" t="s">
        <v>76</v>
      </c>
    </row>
    <row r="7" customFormat="false" ht="45.75" hidden="false" customHeight="true" outlineLevel="0" collapsed="false">
      <c r="A7" s="12" t="n">
        <v>3</v>
      </c>
      <c r="B7" s="12" t="s">
        <v>77</v>
      </c>
      <c r="C7" s="12" t="s">
        <v>78</v>
      </c>
      <c r="D7" s="12" t="s">
        <v>79</v>
      </c>
      <c r="E7" s="12" t="s">
        <v>80</v>
      </c>
      <c r="F7" s="12" t="s">
        <v>81</v>
      </c>
      <c r="G7" s="12" t="s">
        <v>82</v>
      </c>
      <c r="H7" s="12" t="s">
        <v>83</v>
      </c>
      <c r="I7" s="12" t="str">
        <f aca="false">IF(G7=H7,"Oui","Non (tests OK sur le PC : onglet 3)")</f>
        <v>Non (tests OK sur le PC : onglet 3)</v>
      </c>
      <c r="J7" s="12" t="s">
        <v>84</v>
      </c>
    </row>
    <row r="8" customFormat="false" ht="45.75" hidden="false" customHeight="true" outlineLevel="0" collapsed="false">
      <c r="A8" s="12" t="n">
        <v>4</v>
      </c>
      <c r="B8" s="12" t="s">
        <v>85</v>
      </c>
      <c r="C8" s="12" t="s">
        <v>86</v>
      </c>
      <c r="D8" s="12" t="s">
        <v>79</v>
      </c>
      <c r="E8" s="12" t="s">
        <v>87</v>
      </c>
      <c r="F8" s="12" t="s">
        <v>81</v>
      </c>
      <c r="G8" s="12" t="s">
        <v>88</v>
      </c>
      <c r="H8" s="12" t="s">
        <v>89</v>
      </c>
      <c r="I8" s="12" t="str">
        <f aca="false">IF(G8=H8,"Oui","Non (tests OK sur le PC : onglet 3)")</f>
        <v>Non (tests OK sur le PC : onglet 3)</v>
      </c>
      <c r="J8" s="12" t="s">
        <v>84</v>
      </c>
    </row>
    <row r="9" customFormat="false" ht="45.75" hidden="false" customHeight="true" outlineLevel="0" collapsed="false">
      <c r="A9" s="12" t="n">
        <v>5</v>
      </c>
      <c r="B9" s="12" t="s">
        <v>90</v>
      </c>
      <c r="C9" s="12" t="s">
        <v>91</v>
      </c>
      <c r="D9" s="12" t="s">
        <v>92</v>
      </c>
      <c r="E9" s="12" t="s">
        <v>80</v>
      </c>
      <c r="F9" s="12" t="s">
        <v>81</v>
      </c>
      <c r="G9" s="12" t="s">
        <v>93</v>
      </c>
      <c r="H9" s="12" t="s">
        <v>94</v>
      </c>
      <c r="I9" s="12" t="str">
        <f aca="false">IF(G9=H9,"Oui","Non (tests OK sur le PC : onglet 3)")</f>
        <v>Non (tests OK sur le PC : onglet 3)</v>
      </c>
      <c r="J9" s="12" t="s">
        <v>95</v>
      </c>
    </row>
    <row r="10" customFormat="false" ht="31.5" hidden="false" customHeight="true" outlineLevel="0" collapsed="false">
      <c r="A10" s="12" t="n">
        <v>6</v>
      </c>
      <c r="B10" s="12" t="s">
        <v>96</v>
      </c>
      <c r="C10" s="12" t="s">
        <v>97</v>
      </c>
      <c r="D10" s="12" t="s">
        <v>92</v>
      </c>
      <c r="E10" s="12" t="s">
        <v>98</v>
      </c>
      <c r="F10" s="12" t="s">
        <v>99</v>
      </c>
      <c r="G10" s="12" t="s">
        <v>100</v>
      </c>
      <c r="H10" s="12" t="s">
        <v>100</v>
      </c>
      <c r="I10" s="12" t="str">
        <f aca="false">IF(G10=H10,"Oui","Non (tests OK sur le PC : onglet 3)")</f>
        <v>Oui</v>
      </c>
      <c r="J10" s="12" t="s">
        <v>101</v>
      </c>
    </row>
    <row r="11" customFormat="false" ht="45.75" hidden="false" customHeight="true" outlineLevel="0" collapsed="false">
      <c r="A11" s="12" t="n">
        <v>7</v>
      </c>
      <c r="B11" s="12" t="s">
        <v>102</v>
      </c>
      <c r="C11" s="12" t="s">
        <v>103</v>
      </c>
      <c r="D11" s="12" t="s">
        <v>92</v>
      </c>
      <c r="E11" s="12" t="s">
        <v>87</v>
      </c>
      <c r="F11" s="12" t="s">
        <v>81</v>
      </c>
      <c r="G11" s="12" t="s">
        <v>104</v>
      </c>
      <c r="H11" s="12" t="s">
        <v>105</v>
      </c>
      <c r="I11" s="12" t="str">
        <f aca="false">IF(G11=H11,"Oui","Non (tests OK sur le PC : onglet 3)")</f>
        <v>Non (tests OK sur le PC : onglet 3)</v>
      </c>
      <c r="J11" s="12" t="s">
        <v>95</v>
      </c>
    </row>
    <row r="12" customFormat="false" ht="45.75" hidden="false" customHeight="true" outlineLevel="0" collapsed="false">
      <c r="A12" s="12" t="n">
        <v>8</v>
      </c>
      <c r="B12" s="12" t="s">
        <v>106</v>
      </c>
      <c r="C12" s="12" t="s">
        <v>107</v>
      </c>
      <c r="D12" s="12" t="s">
        <v>92</v>
      </c>
      <c r="E12" s="12" t="s">
        <v>87</v>
      </c>
      <c r="F12" s="12" t="s">
        <v>81</v>
      </c>
      <c r="G12" s="12" t="s">
        <v>108</v>
      </c>
      <c r="H12" s="12" t="s">
        <v>109</v>
      </c>
      <c r="I12" s="12" t="str">
        <f aca="false">IF(G12=H12,"Oui","Non (tests OK sur le PC : onglet 3)")</f>
        <v>Non (tests OK sur le PC : onglet 3)</v>
      </c>
      <c r="J12" s="12" t="s">
        <v>95</v>
      </c>
    </row>
    <row r="13" customFormat="false" ht="31.5" hidden="false" customHeight="true" outlineLevel="0" collapsed="false">
      <c r="A13" s="12" t="n">
        <v>9</v>
      </c>
      <c r="B13" s="12" t="s">
        <v>110</v>
      </c>
      <c r="C13" s="12" t="s">
        <v>111</v>
      </c>
      <c r="D13" s="12" t="s">
        <v>92</v>
      </c>
      <c r="E13" s="12" t="s">
        <v>98</v>
      </c>
      <c r="F13" s="12" t="s">
        <v>99</v>
      </c>
      <c r="G13" s="12" t="s">
        <v>112</v>
      </c>
      <c r="H13" s="12" t="s">
        <v>113</v>
      </c>
      <c r="I13" s="12" t="str">
        <f aca="false">IF(G13=H13,"Oui","Non (tests OK sur le PC : onglet 3)")</f>
        <v>Non (tests OK sur le PC : onglet 3)</v>
      </c>
      <c r="J13" s="12" t="s">
        <v>101</v>
      </c>
    </row>
    <row r="14" customFormat="false" ht="45.75" hidden="false" customHeight="true" outlineLevel="0" collapsed="false">
      <c r="A14" s="12" t="n">
        <v>10</v>
      </c>
      <c r="B14" s="12" t="s">
        <v>114</v>
      </c>
      <c r="C14" s="12" t="s">
        <v>115</v>
      </c>
      <c r="D14" s="12" t="s">
        <v>92</v>
      </c>
      <c r="E14" s="12" t="s">
        <v>87</v>
      </c>
      <c r="F14" s="12" t="s">
        <v>81</v>
      </c>
      <c r="G14" s="12" t="s">
        <v>116</v>
      </c>
      <c r="H14" s="12" t="s">
        <v>117</v>
      </c>
      <c r="I14" s="12" t="str">
        <f aca="false">IF(G14=H14,"Oui","Non (tests OK sur le PC : onglet 3)")</f>
        <v>Non (tests OK sur le PC : onglet 3)</v>
      </c>
      <c r="J14" s="12" t="s">
        <v>95</v>
      </c>
    </row>
    <row r="15" customFormat="false" ht="31.5" hidden="false" customHeight="true" outlineLevel="0" collapsed="false">
      <c r="A15" s="12" t="n">
        <v>11</v>
      </c>
      <c r="B15" s="12" t="s">
        <v>118</v>
      </c>
      <c r="C15" s="12" t="s">
        <v>119</v>
      </c>
      <c r="D15" s="12" t="s">
        <v>92</v>
      </c>
      <c r="E15" s="12" t="s">
        <v>120</v>
      </c>
      <c r="F15" s="12" t="s">
        <v>99</v>
      </c>
      <c r="G15" s="12" t="s">
        <v>121</v>
      </c>
      <c r="H15" s="12" t="s">
        <v>122</v>
      </c>
      <c r="I15" s="12" t="str">
        <f aca="false">IF(G15=H15,"Oui","Non (tests OK sur le PC : onglet 3)")</f>
        <v>Non (tests OK sur le PC : onglet 3)</v>
      </c>
      <c r="J15" s="12" t="s">
        <v>101</v>
      </c>
    </row>
    <row r="16" customFormat="false" ht="31.5" hidden="false" customHeight="true" outlineLevel="0" collapsed="false">
      <c r="A16" s="12" t="n">
        <v>12</v>
      </c>
      <c r="B16" s="12" t="s">
        <v>123</v>
      </c>
      <c r="C16" s="12" t="s">
        <v>124</v>
      </c>
      <c r="D16" s="12" t="s">
        <v>92</v>
      </c>
      <c r="E16" s="12" t="s">
        <v>125</v>
      </c>
      <c r="F16" s="12" t="s">
        <v>99</v>
      </c>
      <c r="G16" s="12" t="s">
        <v>126</v>
      </c>
      <c r="H16" s="12" t="s">
        <v>126</v>
      </c>
      <c r="I16" s="12" t="str">
        <f aca="false">IF(G16=H16,"Oui","Non (tests OK sur le PC : onglet 3)")</f>
        <v>Oui</v>
      </c>
      <c r="J16" s="12" t="s">
        <v>101</v>
      </c>
    </row>
    <row r="17" customFormat="false" ht="31.5" hidden="false" customHeight="true" outlineLevel="0" collapsed="false">
      <c r="A17" s="12" t="n">
        <v>13</v>
      </c>
      <c r="B17" s="12" t="s">
        <v>127</v>
      </c>
      <c r="C17" s="12" t="s">
        <v>128</v>
      </c>
      <c r="D17" s="12" t="s">
        <v>129</v>
      </c>
      <c r="E17" s="12" t="s">
        <v>125</v>
      </c>
      <c r="F17" s="12" t="s">
        <v>99</v>
      </c>
      <c r="G17" s="12" t="s">
        <v>130</v>
      </c>
      <c r="H17" s="12" t="s">
        <v>130</v>
      </c>
      <c r="I17" s="12" t="str">
        <f aca="false">IF(G17=H17,"Oui","Non (tests OK sur le PC : onglet 3)")</f>
        <v>Oui</v>
      </c>
      <c r="J17" s="12" t="s">
        <v>101</v>
      </c>
    </row>
    <row r="19" customFormat="false" ht="15" hidden="false" customHeight="false" outlineLevel="0" collapsed="false">
      <c r="B19" s="2" t="s">
        <v>131</v>
      </c>
    </row>
    <row r="20" customFormat="false" ht="15" hidden="false" customHeight="false" outlineLevel="0" collapsed="false">
      <c r="B20" s="2" t="s">
        <v>132</v>
      </c>
    </row>
  </sheetData>
  <conditionalFormatting sqref="I5:I17">
    <cfRule type="expression" priority="2" aboveAverage="0" equalAverage="0" bottom="0" percent="0" rank="0" text="" dxfId="0">
      <formula>LEFT($I5,3)="Oui"</formula>
    </cfRule>
    <cfRule type="expression" priority="3" aboveAverage="0" equalAverage="0" bottom="0" percent="0" rank="0" text="" dxfId="1">
      <formula>LEFT($I5,3)="Non"</formula>
    </cfRule>
  </conditionalFormatting>
  <conditionalFormatting sqref="J5:J17">
    <cfRule type="expression" priority="4" aboveAverage="0" equalAverage="0" bottom="0" percent="0" rank="0" text="" dxfId="0">
      <formula>LEFT(J5,4)="VERT"</formula>
    </cfRule>
    <cfRule type="expression" priority="5" aboveAverage="0" equalAverage="0" bottom="0" percent="0" rank="0" text="" dxfId="1">
      <formula>LEFT(J5,6)="ORANGE"</formula>
    </cfRule>
    <cfRule type="expression" priority="6" aboveAverage="0" equalAverage="0" bottom="0" percent="0" rank="0" text="" dxfId="2">
      <formula>LEFT(J5,5)="ROUGE"</formula>
    </cfRule>
    <cfRule type="expression" priority="7" aboveAverage="0" equalAverage="0" bottom="0" percent="0" rank="0" text="" dxfId="3">
      <formula>LEFT(J5,9)="À REMPLIR"</formula>
    </cfRule>
  </conditionalFormatting>
  <conditionalFormatting sqref="F5:F17">
    <cfRule type="expression" priority="8" aboveAverage="0" equalAverage="0" bottom="0" percent="0" rank="0" text="" dxfId="1">
      <formula>LEFT($F5,8)="Compilée"</formula>
    </cfRule>
    <cfRule type="expression" priority="9" aboveAverage="0" equalAverage="0" bottom="0" percent="0" rank="0" text="" dxfId="0">
      <formula>LEFT($F5,10)="Python pur"</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8"/>
    <col collapsed="false" customWidth="true" hidden="false" outlineLevel="0" max="3" min="3" style="0" width="70"/>
    <col collapsed="false" customWidth="true" hidden="false" outlineLevel="0" max="4" min="4" style="0" width="40"/>
    <col collapsed="false" customWidth="true" hidden="false" outlineLevel="0" max="5" min="5" style="0" width="12"/>
  </cols>
  <sheetData>
    <row r="1" customFormat="false" ht="19.7" hidden="false" customHeight="false" outlineLevel="0" collapsed="false">
      <c r="A1" s="1" t="s">
        <v>14</v>
      </c>
    </row>
    <row r="2" customFormat="false" ht="15" hidden="false" customHeight="false" outlineLevel="0" collapsed="false">
      <c r="A2" s="2" t="s">
        <v>133</v>
      </c>
    </row>
    <row r="4" customFormat="false" ht="18" hidden="false" customHeight="true" outlineLevel="0" collapsed="false">
      <c r="A4" s="11" t="s">
        <v>51</v>
      </c>
      <c r="B4" s="11" t="s">
        <v>134</v>
      </c>
      <c r="C4" s="11" t="s">
        <v>135</v>
      </c>
      <c r="D4" s="11" t="s">
        <v>136</v>
      </c>
      <c r="E4" s="11" t="s">
        <v>137</v>
      </c>
    </row>
    <row r="5" customFormat="false" ht="31.5" hidden="false" customHeight="true" outlineLevel="0" collapsed="false">
      <c r="A5" s="12" t="n">
        <v>1</v>
      </c>
      <c r="B5" s="12" t="s">
        <v>138</v>
      </c>
      <c r="C5" s="12" t="s">
        <v>139</v>
      </c>
      <c r="D5" s="12" t="s">
        <v>140</v>
      </c>
      <c r="E5" s="12" t="s">
        <v>36</v>
      </c>
    </row>
    <row r="6" customFormat="false" ht="31.5" hidden="false" customHeight="true" outlineLevel="0" collapsed="false">
      <c r="A6" s="12" t="n">
        <v>2</v>
      </c>
      <c r="B6" s="12" t="s">
        <v>141</v>
      </c>
      <c r="C6" s="12" t="s">
        <v>142</v>
      </c>
      <c r="D6" s="12" t="s">
        <v>143</v>
      </c>
      <c r="E6" s="12" t="s">
        <v>38</v>
      </c>
    </row>
    <row r="7" customFormat="false" ht="45.75" hidden="false" customHeight="true" outlineLevel="0" collapsed="false">
      <c r="A7" s="12" t="n">
        <v>3</v>
      </c>
      <c r="B7" s="12" t="s">
        <v>144</v>
      </c>
      <c r="C7" s="12" t="s">
        <v>145</v>
      </c>
      <c r="D7" s="12" t="s">
        <v>146</v>
      </c>
      <c r="E7" s="12" t="s">
        <v>38</v>
      </c>
    </row>
    <row r="8" customFormat="false" ht="60" hidden="false" customHeight="true" outlineLevel="0" collapsed="false">
      <c r="A8" s="12" t="n">
        <v>4</v>
      </c>
      <c r="B8" s="12" t="s">
        <v>147</v>
      </c>
      <c r="C8" s="12" t="s">
        <v>148</v>
      </c>
      <c r="D8" s="12" t="s">
        <v>149</v>
      </c>
      <c r="E8" s="12" t="s">
        <v>40</v>
      </c>
    </row>
    <row r="9" customFormat="false" ht="31.5" hidden="false" customHeight="true" outlineLevel="0" collapsed="false">
      <c r="A9" s="12" t="n">
        <v>5</v>
      </c>
      <c r="B9" s="12" t="s">
        <v>150</v>
      </c>
      <c r="C9" s="12" t="s">
        <v>151</v>
      </c>
      <c r="D9" s="12" t="s">
        <v>152</v>
      </c>
      <c r="E9" s="12" t="s">
        <v>38</v>
      </c>
    </row>
    <row r="10" customFormat="false" ht="18" hidden="false" customHeight="true" outlineLevel="0" collapsed="false">
      <c r="A10" s="12" t="n">
        <v>6</v>
      </c>
      <c r="B10" s="12" t="s">
        <v>153</v>
      </c>
      <c r="C10" s="12" t="s">
        <v>154</v>
      </c>
      <c r="D10" s="12" t="s">
        <v>155</v>
      </c>
      <c r="E10" s="12" t="s">
        <v>38</v>
      </c>
    </row>
    <row r="11" customFormat="false" ht="31.5" hidden="false" customHeight="true" outlineLevel="0" collapsed="false">
      <c r="A11" s="12" t="n">
        <v>7</v>
      </c>
      <c r="B11" s="12" t="s">
        <v>156</v>
      </c>
      <c r="C11" s="12" t="s">
        <v>157</v>
      </c>
      <c r="D11" s="12" t="s">
        <v>158</v>
      </c>
      <c r="E11" s="12" t="s">
        <v>38</v>
      </c>
    </row>
    <row r="12" customFormat="false" ht="31.5" hidden="false" customHeight="true" outlineLevel="0" collapsed="false">
      <c r="A12" s="12" t="n">
        <v>8</v>
      </c>
      <c r="B12" s="12" t="s">
        <v>159</v>
      </c>
      <c r="C12" s="12" t="s">
        <v>160</v>
      </c>
      <c r="D12" s="12" t="s">
        <v>161</v>
      </c>
      <c r="E12" s="12" t="s">
        <v>38</v>
      </c>
    </row>
    <row r="13" customFormat="false" ht="31.5" hidden="false" customHeight="true" outlineLevel="0" collapsed="false">
      <c r="A13" s="12" t="n">
        <v>9</v>
      </c>
      <c r="B13" s="12" t="s">
        <v>162</v>
      </c>
      <c r="C13" s="12" t="s">
        <v>163</v>
      </c>
      <c r="D13" s="12" t="s">
        <v>164</v>
      </c>
      <c r="E13" s="12" t="s">
        <v>36</v>
      </c>
    </row>
    <row r="14" customFormat="false" ht="31.5" hidden="false" customHeight="true" outlineLevel="0" collapsed="false">
      <c r="A14" s="12" t="n">
        <v>10</v>
      </c>
      <c r="B14" s="12" t="s">
        <v>165</v>
      </c>
      <c r="C14" s="12" t="s">
        <v>166</v>
      </c>
      <c r="D14" s="12" t="s">
        <v>167</v>
      </c>
      <c r="E14" s="12" t="s">
        <v>36</v>
      </c>
    </row>
    <row r="15" customFormat="false" ht="60" hidden="false" customHeight="true" outlineLevel="0" collapsed="false">
      <c r="A15" s="12" t="n">
        <v>11</v>
      </c>
      <c r="B15" s="12" t="s">
        <v>168</v>
      </c>
      <c r="C15" s="12" t="s">
        <v>169</v>
      </c>
      <c r="D15" s="12" t="s">
        <v>170</v>
      </c>
      <c r="E15" s="12" t="s">
        <v>38</v>
      </c>
    </row>
    <row r="16" customFormat="false" ht="60" hidden="false" customHeight="true" outlineLevel="0" collapsed="false">
      <c r="A16" s="12" t="n">
        <v>12</v>
      </c>
      <c r="B16" s="12" t="s">
        <v>171</v>
      </c>
      <c r="C16" s="12" t="s">
        <v>172</v>
      </c>
      <c r="D16" s="12" t="s">
        <v>173</v>
      </c>
      <c r="E16" s="12" t="s">
        <v>38</v>
      </c>
    </row>
    <row r="17" customFormat="false" ht="31.5" hidden="false" customHeight="true" outlineLevel="0" collapsed="false">
      <c r="A17" s="12" t="n">
        <v>13</v>
      </c>
      <c r="B17" s="12" t="s">
        <v>174</v>
      </c>
      <c r="C17" s="12" t="s">
        <v>175</v>
      </c>
      <c r="D17" s="12" t="s">
        <v>176</v>
      </c>
      <c r="E17" s="12" t="s">
        <v>40</v>
      </c>
    </row>
  </sheetData>
  <conditionalFormatting sqref="E5:E17">
    <cfRule type="expression" priority="2" aboveAverage="0" equalAverage="0" bottom="0" percent="0" rank="0" text="" dxfId="0">
      <formula>LEFT(E5,4)="VERT"</formula>
    </cfRule>
    <cfRule type="expression" priority="3" aboveAverage="0" equalAverage="0" bottom="0" percent="0" rank="0" text="" dxfId="1">
      <formula>LEFT(E5,6)="ORANGE"</formula>
    </cfRule>
    <cfRule type="expression" priority="4" aboveAverage="0" equalAverage="0" bottom="0" percent="0" rank="0" text="" dxfId="2">
      <formula>LEFT(E5,5)="ROUGE"</formula>
    </cfRule>
    <cfRule type="expression" priority="5" aboveAverage="0" equalAverage="0" bottom="0" percent="0" rank="0" text="" dxfId="3">
      <formula>LEFT(E5,9)="À REMPLIR"</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9"/>
    <col collapsed="false" customWidth="true" hidden="false" outlineLevel="0" max="3" min="3" style="0" width="8"/>
    <col collapsed="false" customWidth="true" hidden="false" outlineLevel="0" max="4" min="4" style="0" width="9"/>
    <col collapsed="false" customWidth="true" hidden="false" outlineLevel="0" max="5" min="5" style="0" width="11"/>
    <col collapsed="false" customWidth="true" hidden="false" outlineLevel="0" max="6" min="6" style="0" width="40"/>
    <col collapsed="false" customWidth="true" hidden="false" outlineLevel="0" max="7" min="7" style="0" width="70"/>
  </cols>
  <sheetData>
    <row r="1" customFormat="false" ht="19.7" hidden="false" customHeight="false" outlineLevel="0" collapsed="false">
      <c r="A1" s="1" t="s">
        <v>16</v>
      </c>
    </row>
    <row r="2" customFormat="false" ht="15" hidden="false" customHeight="false" outlineLevel="0" collapsed="false">
      <c r="A2" s="2" t="s">
        <v>177</v>
      </c>
    </row>
    <row r="4" customFormat="false" ht="18" hidden="false" customHeight="true" outlineLevel="0" collapsed="false">
      <c r="A4" s="11" t="s">
        <v>178</v>
      </c>
      <c r="B4" s="11" t="s">
        <v>61</v>
      </c>
      <c r="C4" s="11" t="s">
        <v>179</v>
      </c>
      <c r="D4" s="11" t="s">
        <v>77</v>
      </c>
      <c r="E4" s="11" t="s">
        <v>85</v>
      </c>
      <c r="F4" s="11" t="s">
        <v>180</v>
      </c>
      <c r="G4" s="11" t="s">
        <v>181</v>
      </c>
    </row>
    <row r="5" customFormat="false" ht="87.75" hidden="false" customHeight="true" outlineLevel="0" collapsed="false">
      <c r="A5" s="12" t="s">
        <v>182</v>
      </c>
      <c r="B5" s="12" t="s">
        <v>67</v>
      </c>
      <c r="C5" s="12" t="s">
        <v>74</v>
      </c>
      <c r="D5" s="12" t="s">
        <v>83</v>
      </c>
      <c r="E5" s="12" t="s">
        <v>89</v>
      </c>
      <c r="F5" s="12" t="s">
        <v>183</v>
      </c>
      <c r="G5" s="12" t="s">
        <v>184</v>
      </c>
    </row>
    <row r="6" customFormat="false" ht="45.75" hidden="false" customHeight="true" outlineLevel="0" collapsed="false">
      <c r="A6" s="12" t="s">
        <v>185</v>
      </c>
      <c r="B6" s="12" t="s">
        <v>66</v>
      </c>
      <c r="C6" s="12" t="s">
        <v>73</v>
      </c>
      <c r="D6" s="12" t="s">
        <v>82</v>
      </c>
      <c r="E6" s="12" t="s">
        <v>88</v>
      </c>
      <c r="F6" s="12" t="s">
        <v>186</v>
      </c>
      <c r="G6" s="12" t="s">
        <v>187</v>
      </c>
    </row>
    <row r="7" customFormat="false" ht="18" hidden="false" customHeight="true" outlineLevel="0" collapsed="false">
      <c r="A7" s="12" t="s">
        <v>188</v>
      </c>
      <c r="B7" s="12" t="s">
        <v>189</v>
      </c>
      <c r="C7" s="12" t="s">
        <v>64</v>
      </c>
      <c r="D7" s="12" t="s">
        <v>189</v>
      </c>
      <c r="E7" s="12" t="s">
        <v>189</v>
      </c>
      <c r="F7" s="12" t="s">
        <v>190</v>
      </c>
      <c r="G7" s="12" t="s">
        <v>191</v>
      </c>
    </row>
    <row r="9" customFormat="false" ht="15" hidden="false" customHeight="false" outlineLevel="0" collapsed="false">
      <c r="A9" s="2" t="s">
        <v>192</v>
      </c>
    </row>
    <row r="10" customFormat="false" ht="15" hidden="false" customHeight="false" outlineLevel="0" collapsed="false">
      <c r="A10" s="2" t="s">
        <v>193</v>
      </c>
    </row>
  </sheetData>
  <conditionalFormatting sqref="F5:F7">
    <cfRule type="expression" priority="2" aboveAverage="0" equalAverage="0" bottom="0" percent="0" rank="0" text="" dxfId="0">
      <formula>LEFT(F5,4)="VERT"</formula>
    </cfRule>
    <cfRule type="expression" priority="3" aboveAverage="0" equalAverage="0" bottom="0" percent="0" rank="0" text="" dxfId="1">
      <formula>LEFT(F5,6)="ORANGE"</formula>
    </cfRule>
    <cfRule type="expression" priority="4" aboveAverage="0" equalAverage="0" bottom="0" percent="0" rank="0" text="" dxfId="2">
      <formula>LEFT(F5,5)="ROUGE"</formula>
    </cfRule>
    <cfRule type="expression" priority="5" aboveAverage="0" equalAverage="0" bottom="0" percent="0" rank="0" text="" dxfId="3">
      <formula>LEFT(F5,9)="À REMPLIR"</formula>
    </cfRule>
    <cfRule type="expression" priority="6" aboveAverage="0" equalAverage="0" bottom="0" percent="0" rank="0" text="" dxfId="1">
      <formula>LEFT($F5,7)="À FAIRE"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55"/>
    <col collapsed="false" customWidth="true" hidden="false" outlineLevel="0" max="3" min="3" style="0" width="60"/>
    <col collapsed="false" customWidth="true" hidden="false" outlineLevel="0" max="4" min="4" style="0" width="13"/>
    <col collapsed="false" customWidth="true" hidden="false" outlineLevel="0" max="5" min="5" style="0" width="14"/>
    <col collapsed="false" customWidth="true" hidden="false" outlineLevel="0" max="6" min="6" style="0" width="32"/>
  </cols>
  <sheetData>
    <row r="1" customFormat="false" ht="19.7" hidden="false" customHeight="false" outlineLevel="0" collapsed="false">
      <c r="A1" s="1" t="s">
        <v>18</v>
      </c>
    </row>
    <row r="2" customFormat="false" ht="15" hidden="false" customHeight="false" outlineLevel="0" collapsed="false">
      <c r="A2" s="2" t="s">
        <v>194</v>
      </c>
    </row>
    <row r="4" customFormat="false" ht="18" hidden="false" customHeight="true" outlineLevel="0" collapsed="false">
      <c r="A4" s="11" t="s">
        <v>195</v>
      </c>
      <c r="B4" s="11" t="s">
        <v>196</v>
      </c>
      <c r="C4" s="11" t="s">
        <v>197</v>
      </c>
      <c r="D4" s="11" t="s">
        <v>198</v>
      </c>
      <c r="E4" s="11" t="s">
        <v>199</v>
      </c>
      <c r="F4" s="11" t="s">
        <v>200</v>
      </c>
    </row>
    <row r="5" customFormat="false" ht="18" hidden="false" customHeight="true" outlineLevel="0" collapsed="false">
      <c r="A5" s="12" t="n">
        <v>1</v>
      </c>
      <c r="B5" s="12" t="s">
        <v>201</v>
      </c>
      <c r="C5" s="12" t="s">
        <v>64</v>
      </c>
      <c r="D5" s="12" t="s">
        <v>42</v>
      </c>
      <c r="E5" s="12" t="s">
        <v>42</v>
      </c>
      <c r="F5" s="12" t="s">
        <v>42</v>
      </c>
    </row>
    <row r="6" customFormat="false" ht="45.75" hidden="false" customHeight="true" outlineLevel="0" collapsed="false">
      <c r="A6" s="12" t="n">
        <v>2</v>
      </c>
      <c r="B6" s="12" t="s">
        <v>202</v>
      </c>
      <c r="C6" s="12" t="s">
        <v>203</v>
      </c>
      <c r="D6" s="12" t="s">
        <v>42</v>
      </c>
      <c r="E6" s="12" t="s">
        <v>42</v>
      </c>
      <c r="F6" s="12" t="s">
        <v>42</v>
      </c>
    </row>
    <row r="7" customFormat="false" ht="31.5" hidden="false" customHeight="true" outlineLevel="0" collapsed="false">
      <c r="A7" s="12" t="n">
        <v>3</v>
      </c>
      <c r="B7" s="12" t="s">
        <v>204</v>
      </c>
      <c r="C7" s="12" t="s">
        <v>205</v>
      </c>
      <c r="D7" s="12" t="s">
        <v>42</v>
      </c>
      <c r="E7" s="12" t="s">
        <v>42</v>
      </c>
      <c r="F7" s="12" t="s">
        <v>42</v>
      </c>
    </row>
    <row r="8" customFormat="false" ht="31.5" hidden="false" customHeight="true" outlineLevel="0" collapsed="false">
      <c r="A8" s="12" t="n">
        <v>4</v>
      </c>
      <c r="B8" s="12" t="s">
        <v>206</v>
      </c>
      <c r="C8" s="12" t="s">
        <v>207</v>
      </c>
      <c r="D8" s="12" t="s">
        <v>42</v>
      </c>
      <c r="E8" s="12" t="s">
        <v>42</v>
      </c>
      <c r="F8" s="12" t="s">
        <v>42</v>
      </c>
    </row>
    <row r="9" customFormat="false" ht="31.5" hidden="false" customHeight="true" outlineLevel="0" collapsed="false">
      <c r="A9" s="12" t="n">
        <v>5</v>
      </c>
      <c r="B9" s="12" t="s">
        <v>208</v>
      </c>
      <c r="C9" s="12" t="s">
        <v>209</v>
      </c>
      <c r="D9" s="12" t="s">
        <v>42</v>
      </c>
      <c r="E9" s="12" t="s">
        <v>42</v>
      </c>
      <c r="F9" s="12" t="s">
        <v>42</v>
      </c>
    </row>
    <row r="10" customFormat="false" ht="45.75" hidden="false" customHeight="true" outlineLevel="0" collapsed="false">
      <c r="A10" s="12" t="n">
        <v>6</v>
      </c>
      <c r="B10" s="12" t="s">
        <v>210</v>
      </c>
      <c r="C10" s="12" t="s">
        <v>211</v>
      </c>
      <c r="D10" s="12" t="s">
        <v>42</v>
      </c>
      <c r="E10" s="12" t="s">
        <v>42</v>
      </c>
      <c r="F10" s="12" t="s">
        <v>42</v>
      </c>
    </row>
    <row r="11" customFormat="false" ht="18" hidden="false" customHeight="true" outlineLevel="0" collapsed="false">
      <c r="A11" s="12" t="n">
        <v>7</v>
      </c>
      <c r="B11" s="12" t="s">
        <v>212</v>
      </c>
      <c r="C11" s="12" t="s">
        <v>213</v>
      </c>
      <c r="D11" s="12" t="s">
        <v>42</v>
      </c>
      <c r="E11" s="12" t="s">
        <v>42</v>
      </c>
      <c r="F11" s="12" t="s">
        <v>42</v>
      </c>
    </row>
    <row r="12" customFormat="false" ht="45.75" hidden="false" customHeight="true" outlineLevel="0" collapsed="false">
      <c r="A12" s="12" t="n">
        <v>8</v>
      </c>
      <c r="B12" s="12" t="s">
        <v>214</v>
      </c>
      <c r="C12" s="12" t="s">
        <v>215</v>
      </c>
      <c r="D12" s="12" t="s">
        <v>42</v>
      </c>
      <c r="E12" s="12" t="s">
        <v>42</v>
      </c>
      <c r="F12" s="12" t="s">
        <v>42</v>
      </c>
    </row>
    <row r="13" customFormat="false" ht="31.5" hidden="false" customHeight="true" outlineLevel="0" collapsed="false">
      <c r="A13" s="12" t="n">
        <v>9</v>
      </c>
      <c r="B13" s="12" t="s">
        <v>216</v>
      </c>
      <c r="C13" s="12" t="s">
        <v>64</v>
      </c>
      <c r="D13" s="12" t="s">
        <v>42</v>
      </c>
      <c r="E13" s="12" t="s">
        <v>42</v>
      </c>
      <c r="F13" s="12" t="s">
        <v>42</v>
      </c>
    </row>
  </sheetData>
  <conditionalFormatting sqref="D5:F13">
    <cfRule type="expression" priority="2" aboveAverage="0" equalAverage="0" bottom="0" percent="0" rank="0" text="" dxfId="0">
      <formula>LEFT(D5,4)="VERT"</formula>
    </cfRule>
    <cfRule type="expression" priority="3" aboveAverage="0" equalAverage="0" bottom="0" percent="0" rank="0" text="" dxfId="1">
      <formula>LEFT(D5,6)="ORANGE"</formula>
    </cfRule>
    <cfRule type="expression" priority="4" aboveAverage="0" equalAverage="0" bottom="0" percent="0" rank="0" text="" dxfId="2">
      <formula>LEFT(D5,5)="ROUGE"</formula>
    </cfRule>
    <cfRule type="expression" priority="5" aboveAverage="0" equalAverage="0" bottom="0" percent="0" rank="0" text="" dxfId="3">
      <formula>LEFT(D5,9)="À REMPLIR"</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5" min="2" style="0" width="30"/>
  </cols>
  <sheetData>
    <row r="1" customFormat="false" ht="19.7" hidden="false" customHeight="false" outlineLevel="0" collapsed="false">
      <c r="A1" s="1" t="s">
        <v>20</v>
      </c>
    </row>
    <row r="2" customFormat="false" ht="15" hidden="false" customHeight="false" outlineLevel="0" collapsed="false">
      <c r="A2" s="2" t="s">
        <v>217</v>
      </c>
    </row>
    <row r="4" customFormat="false" ht="31.5" hidden="false" customHeight="true" outlineLevel="0" collapsed="false">
      <c r="A4" s="11" t="s">
        <v>52</v>
      </c>
      <c r="B4" s="11" t="s">
        <v>218</v>
      </c>
      <c r="C4" s="11" t="s">
        <v>219</v>
      </c>
      <c r="D4" s="11" t="s">
        <v>220</v>
      </c>
      <c r="E4" s="11" t="s">
        <v>221</v>
      </c>
    </row>
    <row r="5" customFormat="false" ht="31.5" hidden="false" customHeight="true" outlineLevel="0" collapsed="false">
      <c r="A5" s="12" t="s">
        <v>222</v>
      </c>
      <c r="B5" s="12" t="s">
        <v>223</v>
      </c>
      <c r="C5" s="12" t="s">
        <v>224</v>
      </c>
      <c r="D5" s="12" t="s">
        <v>42</v>
      </c>
      <c r="E5" s="12" t="s">
        <v>42</v>
      </c>
    </row>
    <row r="6" customFormat="false" ht="18" hidden="false" customHeight="true" outlineLevel="0" collapsed="false">
      <c r="A6" s="12" t="s">
        <v>61</v>
      </c>
      <c r="B6" s="12" t="s">
        <v>66</v>
      </c>
      <c r="C6" s="12" t="s">
        <v>67</v>
      </c>
      <c r="D6" s="12" t="s">
        <v>42</v>
      </c>
      <c r="E6" s="12" t="s">
        <v>42</v>
      </c>
    </row>
    <row r="7" customFormat="false" ht="18" hidden="false" customHeight="true" outlineLevel="0" collapsed="false">
      <c r="A7" s="12" t="s">
        <v>225</v>
      </c>
      <c r="B7" s="12" t="s">
        <v>73</v>
      </c>
      <c r="C7" s="12" t="s">
        <v>74</v>
      </c>
      <c r="D7" s="12" t="s">
        <v>42</v>
      </c>
      <c r="E7" s="12" t="s">
        <v>42</v>
      </c>
    </row>
    <row r="8" customFormat="false" ht="18" hidden="false" customHeight="true" outlineLevel="0" collapsed="false">
      <c r="A8" s="12" t="s">
        <v>77</v>
      </c>
      <c r="B8" s="12" t="s">
        <v>82</v>
      </c>
      <c r="C8" s="12" t="s">
        <v>83</v>
      </c>
      <c r="D8" s="12" t="s">
        <v>42</v>
      </c>
      <c r="E8" s="12" t="s">
        <v>42</v>
      </c>
    </row>
    <row r="9" customFormat="false" ht="18" hidden="false" customHeight="true" outlineLevel="0" collapsed="false">
      <c r="A9" s="12" t="s">
        <v>85</v>
      </c>
      <c r="B9" s="12" t="s">
        <v>88</v>
      </c>
      <c r="C9" s="12" t="s">
        <v>89</v>
      </c>
      <c r="D9" s="12" t="s">
        <v>42</v>
      </c>
      <c r="E9" s="12" t="s">
        <v>42</v>
      </c>
    </row>
    <row r="10" customFormat="false" ht="18" hidden="false" customHeight="true" outlineLevel="0" collapsed="false">
      <c r="A10" s="12" t="s">
        <v>90</v>
      </c>
      <c r="B10" s="12" t="s">
        <v>93</v>
      </c>
      <c r="C10" s="12" t="s">
        <v>94</v>
      </c>
      <c r="D10" s="12" t="s">
        <v>42</v>
      </c>
      <c r="E10" s="12" t="s">
        <v>42</v>
      </c>
    </row>
    <row r="11" customFormat="false" ht="18" hidden="false" customHeight="true" outlineLevel="0" collapsed="false">
      <c r="A11" s="12" t="s">
        <v>96</v>
      </c>
      <c r="B11" s="12" t="s">
        <v>100</v>
      </c>
      <c r="C11" s="12" t="s">
        <v>100</v>
      </c>
      <c r="D11" s="12" t="s">
        <v>42</v>
      </c>
      <c r="E11" s="12" t="s">
        <v>42</v>
      </c>
    </row>
    <row r="12" customFormat="false" ht="18" hidden="false" customHeight="true" outlineLevel="0" collapsed="false">
      <c r="A12" s="12" t="s">
        <v>102</v>
      </c>
      <c r="B12" s="12" t="s">
        <v>104</v>
      </c>
      <c r="C12" s="12" t="s">
        <v>105</v>
      </c>
      <c r="D12" s="12" t="s">
        <v>42</v>
      </c>
      <c r="E12" s="12" t="s">
        <v>42</v>
      </c>
    </row>
    <row r="13" customFormat="false" ht="18" hidden="false" customHeight="true" outlineLevel="0" collapsed="false">
      <c r="A13" s="12" t="s">
        <v>106</v>
      </c>
      <c r="B13" s="12" t="s">
        <v>108</v>
      </c>
      <c r="C13" s="12" t="s">
        <v>109</v>
      </c>
      <c r="D13" s="12" t="s">
        <v>42</v>
      </c>
      <c r="E13" s="12" t="s">
        <v>42</v>
      </c>
    </row>
    <row r="14" customFormat="false" ht="18" hidden="false" customHeight="true" outlineLevel="0" collapsed="false">
      <c r="A14" s="12" t="s">
        <v>110</v>
      </c>
      <c r="B14" s="12" t="s">
        <v>112</v>
      </c>
      <c r="C14" s="12" t="s">
        <v>113</v>
      </c>
      <c r="D14" s="12" t="s">
        <v>42</v>
      </c>
      <c r="E14" s="12" t="s">
        <v>42</v>
      </c>
    </row>
    <row r="15" customFormat="false" ht="18" hidden="false" customHeight="true" outlineLevel="0" collapsed="false">
      <c r="A15" s="12" t="s">
        <v>114</v>
      </c>
      <c r="B15" s="12" t="s">
        <v>116</v>
      </c>
      <c r="C15" s="12" t="s">
        <v>117</v>
      </c>
      <c r="D15" s="12" t="s">
        <v>42</v>
      </c>
      <c r="E15" s="12" t="s">
        <v>42</v>
      </c>
    </row>
    <row r="16" customFormat="false" ht="18" hidden="false" customHeight="true" outlineLevel="0" collapsed="false">
      <c r="A16" s="12" t="s">
        <v>118</v>
      </c>
      <c r="B16" s="12" t="s">
        <v>121</v>
      </c>
      <c r="C16" s="12" t="s">
        <v>122</v>
      </c>
      <c r="D16" s="12" t="s">
        <v>42</v>
      </c>
      <c r="E16" s="12" t="s">
        <v>42</v>
      </c>
    </row>
    <row r="17" customFormat="false" ht="18" hidden="false" customHeight="true" outlineLevel="0" collapsed="false">
      <c r="A17" s="12" t="s">
        <v>123</v>
      </c>
      <c r="B17" s="12" t="s">
        <v>126</v>
      </c>
      <c r="C17" s="12" t="s">
        <v>126</v>
      </c>
      <c r="D17" s="12" t="s">
        <v>42</v>
      </c>
      <c r="E17" s="12" t="s">
        <v>42</v>
      </c>
    </row>
    <row r="18" customFormat="false" ht="18" hidden="false" customHeight="true" outlineLevel="0" collapsed="false">
      <c r="A18" s="12" t="s">
        <v>127</v>
      </c>
      <c r="B18" s="12" t="s">
        <v>130</v>
      </c>
      <c r="C18" s="12" t="s">
        <v>130</v>
      </c>
      <c r="D18" s="12" t="s">
        <v>42</v>
      </c>
      <c r="E18" s="12" t="s">
        <v>42</v>
      </c>
    </row>
    <row r="19" customFormat="false" ht="87.75" hidden="false" customHeight="true" outlineLevel="0" collapsed="false">
      <c r="A19" s="12" t="s">
        <v>226</v>
      </c>
      <c r="B19" s="12" t="s">
        <v>64</v>
      </c>
      <c r="C19" s="12" t="s">
        <v>227</v>
      </c>
      <c r="D19" s="12" t="s">
        <v>42</v>
      </c>
      <c r="E19" s="12" t="s">
        <v>42</v>
      </c>
    </row>
    <row r="20" customFormat="false" ht="18" hidden="false" customHeight="true" outlineLevel="0" collapsed="false">
      <c r="A20" s="12" t="s">
        <v>228</v>
      </c>
      <c r="B20" s="12" t="s">
        <v>229</v>
      </c>
      <c r="C20" s="12" t="s">
        <v>229</v>
      </c>
      <c r="D20" s="12" t="s">
        <v>42</v>
      </c>
      <c r="E20" s="12" t="s">
        <v>42</v>
      </c>
    </row>
    <row r="22" customFormat="false" ht="15" hidden="false" customHeight="false" outlineLevel="0" collapsed="false">
      <c r="A22" s="2" t="s">
        <v>230</v>
      </c>
    </row>
  </sheetData>
  <conditionalFormatting sqref="C8:C18">
    <cfRule type="expression" priority="2" aboveAverage="0" equalAverage="0" bottom="0" percent="0" rank="0" text="" dxfId="1">
      <formula>AND(C8&lt;&gt;"À REMPLIR",C8&lt;&gt;$B8)</formula>
    </cfRule>
    <cfRule type="expression" priority="3" aboveAverage="0" equalAverage="0" bottom="0" percent="0" rank="0" text="" dxfId="0">
      <formula>C8=$B8</formula>
    </cfRule>
  </conditionalFormatting>
  <conditionalFormatting sqref="D8:D18">
    <cfRule type="expression" priority="4" aboveAverage="0" equalAverage="0" bottom="0" percent="0" rank="0" text="" dxfId="1">
      <formula>AND(D8&lt;&gt;"À REMPLIR",D8&lt;&gt;$B8)</formula>
    </cfRule>
    <cfRule type="expression" priority="5" aboveAverage="0" equalAverage="0" bottom="0" percent="0" rank="0" text="" dxfId="0">
      <formula>D8=$B8</formula>
    </cfRule>
  </conditionalFormatting>
  <conditionalFormatting sqref="E8:E18">
    <cfRule type="expression" priority="6" aboveAverage="0" equalAverage="0" bottom="0" percent="0" rank="0" text="" dxfId="1">
      <formula>AND(E8&lt;&gt;"À REMPLIR",E8&lt;&gt;$B8)</formula>
    </cfRule>
    <cfRule type="expression" priority="7" aboveAverage="0" equalAverage="0" bottom="0" percent="0" rank="0" text="" dxfId="0">
      <formula>E8=$B8</formula>
    </cfRule>
  </conditionalFormatting>
  <conditionalFormatting sqref="D5:E20">
    <cfRule type="expression" priority="8" aboveAverage="0" equalAverage="0" bottom="0" percent="0" rank="0" text="" dxfId="0">
      <formula>LEFT(D5,4)="VERT"</formula>
    </cfRule>
    <cfRule type="expression" priority="9" aboveAverage="0" equalAverage="0" bottom="0" percent="0" rank="0" text="" dxfId="1">
      <formula>LEFT(D5,6)="ORANGE"</formula>
    </cfRule>
    <cfRule type="expression" priority="10" aboveAverage="0" equalAverage="0" bottom="0" percent="0" rank="0" text="" dxfId="2">
      <formula>LEFT(D5,5)="ROUGE"</formula>
    </cfRule>
    <cfRule type="expression" priority="11" aboveAverage="0" equalAverage="0" bottom="0" percent="0" rank="0" text="" dxfId="3">
      <formula>LEFT(D5,9)="À REMPLIR"</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70"/>
    <col collapsed="false" customWidth="true" hidden="false" outlineLevel="0" max="3" min="3" style="0" width="40"/>
  </cols>
  <sheetData>
    <row r="1" customFormat="false" ht="19.7" hidden="false" customHeight="false" outlineLevel="0" collapsed="false">
      <c r="A1" s="1" t="s">
        <v>231</v>
      </c>
    </row>
    <row r="2" customFormat="false" ht="15" hidden="false" customHeight="false" outlineLevel="0" collapsed="false">
      <c r="A2" s="2" t="s">
        <v>232</v>
      </c>
    </row>
    <row r="4" customFormat="false" ht="18" hidden="false" customHeight="true" outlineLevel="0" collapsed="false">
      <c r="A4" s="11" t="s">
        <v>233</v>
      </c>
      <c r="B4" s="11" t="s">
        <v>234</v>
      </c>
      <c r="C4" s="11" t="s">
        <v>235</v>
      </c>
    </row>
    <row r="5" customFormat="false" ht="31.5" hidden="false" customHeight="true" outlineLevel="0" collapsed="false">
      <c r="A5" s="12" t="s">
        <v>236</v>
      </c>
      <c r="B5" s="12" t="s">
        <v>237</v>
      </c>
      <c r="C5" s="12" t="s">
        <v>238</v>
      </c>
    </row>
    <row r="6" customFormat="false" ht="18" hidden="false" customHeight="true" outlineLevel="0" collapsed="false">
      <c r="A6" s="12" t="s">
        <v>239</v>
      </c>
      <c r="B6" s="12" t="s">
        <v>240</v>
      </c>
      <c r="C6" s="12" t="s">
        <v>241</v>
      </c>
    </row>
    <row r="7" customFormat="false" ht="18" hidden="false" customHeight="true" outlineLevel="0" collapsed="false">
      <c r="A7" s="12" t="s">
        <v>242</v>
      </c>
      <c r="B7" s="12" t="s">
        <v>243</v>
      </c>
      <c r="C7" s="12" t="s">
        <v>241</v>
      </c>
    </row>
    <row r="8" customFormat="false" ht="31.5" hidden="false" customHeight="true" outlineLevel="0" collapsed="false">
      <c r="A8" s="12" t="s">
        <v>244</v>
      </c>
      <c r="B8" s="12" t="s">
        <v>245</v>
      </c>
      <c r="C8" s="12" t="s">
        <v>241</v>
      </c>
    </row>
    <row r="9" customFormat="false" ht="31.5" hidden="false" customHeight="true" outlineLevel="0" collapsed="false">
      <c r="A9" s="12" t="s">
        <v>246</v>
      </c>
      <c r="B9" s="12" t="s">
        <v>247</v>
      </c>
      <c r="C9" s="12" t="s">
        <v>241</v>
      </c>
    </row>
    <row r="10" customFormat="false" ht="18" hidden="false" customHeight="true" outlineLevel="0" collapsed="false">
      <c r="A10" s="12" t="s">
        <v>248</v>
      </c>
      <c r="B10" s="12" t="s">
        <v>249</v>
      </c>
      <c r="C10" s="12" t="s">
        <v>241</v>
      </c>
    </row>
    <row r="11" customFormat="false" ht="18" hidden="false" customHeight="true" outlineLevel="0" collapsed="false">
      <c r="A11" s="12" t="s">
        <v>250</v>
      </c>
      <c r="B11" s="12" t="s">
        <v>251</v>
      </c>
      <c r="C11" s="12" t="s">
        <v>241</v>
      </c>
    </row>
    <row r="12" customFormat="false" ht="18" hidden="false" customHeight="true" outlineLevel="0" collapsed="false">
      <c r="A12" s="12" t="s">
        <v>252</v>
      </c>
      <c r="B12" s="12" t="s">
        <v>253</v>
      </c>
      <c r="C12" s="12" t="s">
        <v>241</v>
      </c>
    </row>
    <row r="13" customFormat="false" ht="18" hidden="false" customHeight="true" outlineLevel="0" collapsed="false">
      <c r="A13" s="12" t="s">
        <v>254</v>
      </c>
      <c r="B13" s="12" t="s">
        <v>255</v>
      </c>
      <c r="C13" s="12" t="s">
        <v>241</v>
      </c>
    </row>
    <row r="14" customFormat="false" ht="31.5" hidden="false" customHeight="true" outlineLevel="0" collapsed="false">
      <c r="A14" s="12" t="s">
        <v>256</v>
      </c>
      <c r="B14" s="12" t="s">
        <v>257</v>
      </c>
      <c r="C14" s="12" t="s">
        <v>241</v>
      </c>
    </row>
    <row r="15" customFormat="false" ht="18" hidden="false" customHeight="true" outlineLevel="0" collapsed="false">
      <c r="A15" s="12" t="s">
        <v>258</v>
      </c>
      <c r="B15" s="12" t="s">
        <v>259</v>
      </c>
      <c r="C15" s="12" t="s">
        <v>241</v>
      </c>
    </row>
    <row r="16" customFormat="false" ht="18" hidden="false" customHeight="true" outlineLevel="0" collapsed="false">
      <c r="A16" s="12" t="s">
        <v>260</v>
      </c>
      <c r="B16" s="12" t="s">
        <v>261</v>
      </c>
      <c r="C16" s="12" t="s">
        <v>241</v>
      </c>
    </row>
    <row r="17" customFormat="false" ht="18" hidden="false" customHeight="true" outlineLevel="0" collapsed="false">
      <c r="A17" s="12" t="s">
        <v>262</v>
      </c>
      <c r="B17" s="12" t="s">
        <v>263</v>
      </c>
      <c r="C17" s="12" t="s">
        <v>241</v>
      </c>
    </row>
    <row r="18" customFormat="false" ht="18" hidden="false" customHeight="true" outlineLevel="0" collapsed="false">
      <c r="A18" s="12" t="s">
        <v>264</v>
      </c>
      <c r="B18" s="12" t="s">
        <v>265</v>
      </c>
      <c r="C18" s="12" t="s">
        <v>241</v>
      </c>
    </row>
    <row r="19" customFormat="false" ht="18" hidden="false" customHeight="true" outlineLevel="0" collapsed="false">
      <c r="A19" s="12" t="s">
        <v>266</v>
      </c>
      <c r="B19" s="12" t="s">
        <v>267</v>
      </c>
      <c r="C19" s="12" t="s">
        <v>241</v>
      </c>
    </row>
    <row r="20" customFormat="false" ht="31.5" hidden="false" customHeight="true" outlineLevel="0" collapsed="false">
      <c r="A20" s="12" t="s">
        <v>268</v>
      </c>
      <c r="B20" s="12" t="s">
        <v>269</v>
      </c>
      <c r="C20" s="12" t="s">
        <v>241</v>
      </c>
    </row>
    <row r="21" customFormat="false" ht="31.5" hidden="false" customHeight="true" outlineLevel="0" collapsed="false">
      <c r="A21" s="12" t="s">
        <v>270</v>
      </c>
      <c r="B21" s="12" t="s">
        <v>271</v>
      </c>
      <c r="C21" s="12" t="s">
        <v>272</v>
      </c>
    </row>
    <row r="22" customFormat="false" ht="31.5" hidden="false" customHeight="true" outlineLevel="0" collapsed="false">
      <c r="A22" s="12" t="s">
        <v>273</v>
      </c>
      <c r="B22" s="12" t="s">
        <v>274</v>
      </c>
      <c r="C22" s="12" t="s">
        <v>275</v>
      </c>
    </row>
  </sheetData>
  <conditionalFormatting sqref="C5:C22">
    <cfRule type="expression" priority="2" aboveAverage="0" equalAverage="0" bottom="0" percent="0" rank="0" text="" dxfId="0">
      <formula>$C5="Non"</formula>
    </cfRule>
    <cfRule type="expression" priority="3" aboveAverage="0" equalAverage="0" bottom="0" percent="0" rank="0" text="" dxfId="4">
      <formula>$C5&lt;&gt;"Non"</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2026-10-30T14:26:08Z</dcterms:created>
  <dc:creator>openpyxl</dc:creator>
  <dc:description/>
  <dc:language>en-US</dc:language>
  <cp:lastModifiedBy/>
  <dcterms:modified xsi:type="dcterms:W3CDTF">2026-10-30T14:26:08Z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