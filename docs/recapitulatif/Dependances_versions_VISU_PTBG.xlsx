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Bibliothèques" sheetId="2" state="visible" r:id="rId4"/>
    <sheet name="Dépendances" sheetId="3" state="visible" r:id="rId5"/>
    <sheet name="Sensibilités" sheetId="4" state="visible" r:id="rId6"/>
    <sheet name="Interpréteur et système" sheetId="5" state="visible" r:id="rId7"/>
    <sheet name="Bibliothèque standard" sheetId="6" state="visible" r:id="rId8"/>
    <sheet name="Campagnes de tests" sheetId="7" state="visible" r:id="rId9"/>
    <sheet name="Impact montée de version" sheetId="8" state="visible" r:id="rId10"/>
    <sheet name="Procédure de montée" sheetId="9" state="visible" r:id="rId11"/>
    <sheet name="Relevé des postes" sheetId="10" state="visible" r:id="rId12"/>
  </sheets>
  <definedNames>
    <definedName function="false" hidden="true" localSheetId="5" name="_xlnm._FilterDatabase" vbProcedure="false">'Bibliothèque standard'!$A$1:$D$19</definedName>
    <definedName function="false" hidden="true" localSheetId="1" name="_xlnm._FilterDatabase" vbProcedure="false">Bibliothèques!$A$1:$N$12</definedName>
    <definedName function="false" hidden="true" localSheetId="6" name="_xlnm._FilterDatabase" vbProcedure="false">'Campagnes de tests'!$A$1:$J$14</definedName>
    <definedName function="false" hidden="true" localSheetId="2" name="_xlnm._FilterDatabase" vbProcedure="false">Dépendances!$A$1:$G$16</definedName>
    <definedName function="false" hidden="true" localSheetId="7" name="_xlnm._FilterDatabase" vbProcedure="false">'Impact montée de version'!$A$1:$F$17</definedName>
    <definedName function="false" hidden="true" localSheetId="4" name="_xlnm._FilterDatabase" vbProcedure="false">'Interpréteur et système'!$A$1:$B$11</definedName>
    <definedName function="false" hidden="true" localSheetId="8" name="_xlnm._FilterDatabase" vbProcedure="false">'Procédure de montée'!$A$1:$F$9</definedName>
    <definedName function="false" hidden="true" localSheetId="9" name="_xlnm._FilterDatabase" vbProcedure="false">'Relevé des postes'!$A$1:$Q$5</definedName>
    <definedName function="false" hidden="true" localSheetId="3" name="_xlnm._FilterDatabase" vbProcedure="false">Sensibilités!$A$1:$F$14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<sst xmlns="http://schemas.openxmlformats.org/spreadsheetml/2006/main" count="774" uniqueCount="371">
  <si>
    <t xml:space="preserve">Versions, bibliothèques et dépendances — VISU PTBG 1.0.0</t>
  </si>
  <si>
    <t xml:space="preserve">Requis</t>
  </si>
  <si>
    <t xml:space="preserve">REQ_COMMON_KH_3004 : « All additional packages or library implemented shall be documented and strictly aligned with the kernel version. »</t>
  </si>
  <si>
    <t xml:space="preserve">Commentaire de Sébastien</t>
  </si>
  <si>
    <t xml:space="preserve">« Il y a des packages transverses toute version et d’autre plus restrictifs avec independances. Le plus fréquemment il y a une sensibilité à la version de python, l’OS, et le cœur 32 ou 63 bits »</t>
  </si>
  <si>
    <t xml:space="preserve">Requis lié</t>
  </si>
  <si>
    <t xml:space="preserve">REQ_COMMON_KH_3001 : « Final tool shall be compatible with Python 3.6 at least » — commentaire : « Ces versions évolueront forcément, c’est ici le point de départ observé avec le package TDS V1.1.0Semble possible de disposer d’un upgrade Python3.11 pour SLES 15 »</t>
  </si>
  <si>
    <t xml:space="preserve">Réponse</t>
  </si>
  <si>
    <t xml:space="preserve">L'outil n'utilise que la bibliothèque standard de Python, numpy et matplotlib (et les 9 paquets que matplotlib entraîne). Toutes les versions sont figées dans requirements.txt, identiques pour Windows 11 et SLES 15 SP7, de Python 3.11 à 3.14. Pour chaque paquet, ce classeur indique s'il est « transverse » (Python pur, valable partout) ou « restrictif » (compilé : sensible à la version de Python, à l'OS et au 32/64 bits), ses dépendances, et l'effet d'une montée de version.</t>
  </si>
  <si>
    <t xml:space="preserve">Comment s'en servir</t>
  </si>
  <si>
    <t xml:space="preserve">Avant une montée de version : onglet « Impact montée de version » (effets connus), puis « Procédure de montée » (à suivre et à remplir). Sur un nouveau poste : onglet « Relevé des postes » (copier Information &gt; Sources de l'outil). Les cellules jaunes sont à remplir.</t>
  </si>
  <si>
    <t xml:space="preserve">Sources</t>
  </si>
  <si>
    <t xml:space="preserve">requirements.txt ; docs/DEPENDANCES.md ; métadonnées réelles des paquets (Requires-Python, Requires-Dist, présence de code compilé) relevées dans les environnements de test ; relevé du poste Windows 11 / Spyder 6 du 30/10/2026.</t>
  </si>
  <si>
    <t xml:space="preserve">Chiffres clés</t>
  </si>
  <si>
    <t xml:space="preserve">Bibliothèques tierces figées</t>
  </si>
  <si>
    <t xml:space="preserve">dont directes (utilisées par le code)</t>
  </si>
  <si>
    <t xml:space="preserve">dont compilées (sensibles Python / OS / 32-64 bits)</t>
  </si>
  <si>
    <t xml:space="preserve">dont Python pur (transverses)</t>
  </si>
  <si>
    <t xml:space="preserve">Écarts entre le poste Spyder et requirements.txt</t>
  </si>
  <si>
    <t xml:space="preserve">Modules de la bibliothèque standard utilisés</t>
  </si>
  <si>
    <t xml:space="preserve">Combinaisons testées (toutes campagnes)</t>
  </si>
  <si>
    <t xml:space="preserve">dont en échec</t>
  </si>
  <si>
    <t xml:space="preserve">Légende</t>
  </si>
  <si>
    <t xml:space="preserve">vert : identique, conforme, testé OK</t>
  </si>
  <si>
    <t xml:space="preserve">orange : différent mais dans la plage testée / à surveiller</t>
  </si>
  <si>
    <t xml:space="preserve">rouge : bloquant ou non supporté</t>
  </si>
  <si>
    <t xml:space="preserve">bleu : information</t>
  </si>
  <si>
    <t xml:space="preserve">jaune clair : à remplir</t>
  </si>
  <si>
    <t xml:space="preserve">Paquet</t>
  </si>
  <si>
    <t xml:space="preserve">Type</t>
  </si>
  <si>
    <t xml:space="preserve">Requis par</t>
  </si>
  <si>
    <t xml:space="preserve">Rôle dans VISU PTBG</t>
  </si>
  <si>
    <t xml:space="preserve">Version figée (requirements.txt)</t>
  </si>
  <si>
    <t xml:space="preserve">Version poste Spyder (30/10/2026)</t>
  </si>
  <si>
    <t xml:space="preserve">Poste / figée</t>
  </si>
  <si>
    <t xml:space="preserve">Nature (Sébastien : transverse ou restrictif)</t>
  </si>
  <si>
    <t xml:space="preserve">Python supporté — version figée</t>
  </si>
  <si>
    <t xml:space="preserve">Python supporté — version du poste</t>
  </si>
  <si>
    <t xml:space="preserve">Wheel Windows 11 (win_amd64)</t>
  </si>
  <si>
    <t xml:space="preserve">Wheel SLES 15 SP7 (manylinux x86-64)</t>
  </si>
  <si>
    <t xml:space="preserve">32 / 64 bits</t>
  </si>
  <si>
    <t xml:space="preserve">Licence</t>
  </si>
  <si>
    <t xml:space="preserve">numpy</t>
  </si>
  <si>
    <t xml:space="preserve">directe</t>
  </si>
  <si>
    <t xml:space="preserve">code VISU PTBG, matplotlib, contourpy</t>
  </si>
  <si>
    <t xml:space="preserve">tableaux des signaux, conversions de colonnes, base de temps, curseurs, réduction d'affichage</t>
  </si>
  <si>
    <t xml:space="preserve">2.4.6</t>
  </si>
  <si>
    <t xml:space="preserve">2.2.0</t>
  </si>
  <si>
    <t xml:space="preserve">restrictif — compilé (code machine propre à la version de Python, à l'OS et à l'architecture)</t>
  </si>
  <si>
    <t xml:space="preserve">&gt;=3.11</t>
  </si>
  <si>
    <t xml:space="preserve">&gt;=3.10</t>
  </si>
  <si>
    <t xml:space="preserve">oui (cp311 à cp314)</t>
  </si>
  <si>
    <t xml:space="preserve">manylinux_2_27/2_28 (glibc ≥ 2.28)</t>
  </si>
  <si>
    <t xml:space="preserve">64 bits seulement (cible et tests) ; 32 bits non ciblé</t>
  </si>
  <si>
    <t xml:space="preserve">BSD-3-Clause (+ 0BSD, MIT, Zlib, CC0)</t>
  </si>
  <si>
    <t xml:space="preserve">matplotlib</t>
  </si>
  <si>
    <t xml:space="preserve">code VISU PTBG</t>
  </si>
  <si>
    <t xml:space="preserve">courbes, Time Base Monitor, curseurs, nuage X/Y, intégration Tk (TkAgg), rapport PDF</t>
  </si>
  <si>
    <t xml:space="preserve">3.10.9</t>
  </si>
  <si>
    <t xml:space="preserve">3.9.3</t>
  </si>
  <si>
    <t xml:space="preserve">&gt;=3.9</t>
  </si>
  <si>
    <t xml:space="preserve">manylinux2014 (glibc ≥ 2.17)</t>
  </si>
  <si>
    <t xml:space="preserve">licence Matplotlib (type PSF)</t>
  </si>
  <si>
    <t xml:space="preserve">contourpy</t>
  </si>
  <si>
    <t xml:space="preserve">transitive</t>
  </si>
  <si>
    <t xml:space="preserve">tracé de contours (non utilisé par VISU PTBG)</t>
  </si>
  <si>
    <t xml:space="preserve">1.3.3</t>
  </si>
  <si>
    <t xml:space="preserve">1.3.1</t>
  </si>
  <si>
    <t xml:space="preserve">manylinux_2_27</t>
  </si>
  <si>
    <t xml:space="preserve">BSD-3-Clause</t>
  </si>
  <si>
    <t xml:space="preserve">cycler</t>
  </si>
  <si>
    <t xml:space="preserve">cycles de styles (non utilisé directement)</t>
  </si>
  <si>
    <t xml:space="preserve">0.12.1</t>
  </si>
  <si>
    <t xml:space="preserve">transverse — Python pur (même fichier pour toute version de Python et tout OS)</t>
  </si>
  <si>
    <t xml:space="preserve">&gt;=3.8</t>
  </si>
  <si>
    <t xml:space="preserve">universelle (py3-none-any)</t>
  </si>
  <si>
    <t xml:space="preserve">indifférent</t>
  </si>
  <si>
    <t xml:space="preserve">fonttools</t>
  </si>
  <si>
    <t xml:space="preserve">polices intégrées au PDF</t>
  </si>
  <si>
    <t xml:space="preserve">4.65.0</t>
  </si>
  <si>
    <t xml:space="preserve">4.55.2</t>
  </si>
  <si>
    <t xml:space="preserve">manylinux2014 (ou pur Python)</t>
  </si>
  <si>
    <t xml:space="preserve">MIT</t>
  </si>
  <si>
    <t xml:space="preserve">kiwisolver</t>
  </si>
  <si>
    <t xml:space="preserve">calcul de mise en page des figures</t>
  </si>
  <si>
    <t xml:space="preserve">1.4.9</t>
  </si>
  <si>
    <t xml:space="preserve">1.4.7</t>
  </si>
  <si>
    <t xml:space="preserve">manylinux2014</t>
  </si>
  <si>
    <t xml:space="preserve">packaging</t>
  </si>
  <si>
    <t xml:space="preserve">comparaison de versions (non utilisé directement)</t>
  </si>
  <si>
    <t xml:space="preserve">26.2</t>
  </si>
  <si>
    <t xml:space="preserve">24.2</t>
  </si>
  <si>
    <t xml:space="preserve">Apache-2.0 ou BSD-2-Clause</t>
  </si>
  <si>
    <t xml:space="preserve">pillow</t>
  </si>
  <si>
    <t xml:space="preserve">images, icônes de la barre d'outils Matplotlib</t>
  </si>
  <si>
    <t xml:space="preserve">12.3.0</t>
  </si>
  <si>
    <t xml:space="preserve">11.0.0</t>
  </si>
  <si>
    <t xml:space="preserve">manylinux_2_27/2_28</t>
  </si>
  <si>
    <t xml:space="preserve">MIT-CMU</t>
  </si>
  <si>
    <t xml:space="preserve">pyparsing</t>
  </si>
  <si>
    <t xml:space="preserve">analyse du texte mathématique (non utilisé directement)</t>
  </si>
  <si>
    <t xml:space="preserve">3.3.2</t>
  </si>
  <si>
    <t xml:space="preserve">3.2.0</t>
  </si>
  <si>
    <t xml:space="preserve">python-dateutil</t>
  </si>
  <si>
    <t xml:space="preserve">dates (non utilisé directement)</t>
  </si>
  <si>
    <t xml:space="preserve">2.9.0.post0</t>
  </si>
  <si>
    <t xml:space="preserve">!=3.0.*,!=3.1.*,!=3.2.*,&gt;=2.7</t>
  </si>
  <si>
    <t xml:space="preserve">Apache-2.0 / BSD-3-Clause</t>
  </si>
  <si>
    <t xml:space="preserve">six</t>
  </si>
  <si>
    <t xml:space="preserve">compatibilité Python 2/3 (non utilisé directement)</t>
  </si>
  <si>
    <t xml:space="preserve">1.17.0</t>
  </si>
  <si>
    <t xml:space="preserve">&gt;=2.7, !=3.0.*, !=3.1.*, !=3.2.*</t>
  </si>
  <si>
    <t xml:space="preserve">« différente » ne veut pas dire « incompatible » : les versions du poste Spyder (numpy 2.2.0, matplotlib 3.9.3…) ont passé les 145 tests (onglet « Campagnes de tests »).</t>
  </si>
  <si>
    <t xml:space="preserve">Dépend de</t>
  </si>
  <si>
    <t xml:space="preserve">Contrainte déclarée par le paquet</t>
  </si>
  <si>
    <t xml:space="preserve">Version figée retenue</t>
  </si>
  <si>
    <t xml:space="preserve">Version sur le poste Spyder</t>
  </si>
  <si>
    <t xml:space="preserve">Contrainte respectée (figée)</t>
  </si>
  <si>
    <t xml:space="preserve">Contrainte respectée (poste)</t>
  </si>
  <si>
    <t xml:space="preserve">aucune contrainte (version figée)</t>
  </si>
  <si>
    <t xml:space="preserve">oui</t>
  </si>
  <si>
    <t xml:space="preserve">&gt;=1.0.1</t>
  </si>
  <si>
    <t xml:space="preserve">&gt;=0.10</t>
  </si>
  <si>
    <t xml:space="preserve">&gt;=4.22.0</t>
  </si>
  <si>
    <t xml:space="preserve">&gt;=1.3.1</t>
  </si>
  <si>
    <t xml:space="preserve">&gt;=1.23</t>
  </si>
  <si>
    <t xml:space="preserve">&gt;=20.0</t>
  </si>
  <si>
    <t xml:space="preserve">&gt;=8</t>
  </si>
  <si>
    <t xml:space="preserve">&gt;=3</t>
  </si>
  <si>
    <t xml:space="preserve">&gt;=2.7</t>
  </si>
  <si>
    <t xml:space="preserve">&gt;=1.25</t>
  </si>
  <si>
    <t xml:space="preserve">&gt;=1.5</t>
  </si>
  <si>
    <t xml:space="preserve">matplotlib 3.9.3 (poste)</t>
  </si>
  <si>
    <t xml:space="preserve">&gt;=2.3.1</t>
  </si>
  <si>
    <t xml:space="preserve">—</t>
  </si>
  <si>
    <t xml:space="preserve">contourpy 1.3.1 (poste)</t>
  </si>
  <si>
    <t xml:space="preserve">Lecture : matplotlib entraîne 9 paquets ; python-dateutil entraîne six. numpy et matplotlib sont les deux seules dépendances directes du code.</t>
  </si>
  <si>
    <t xml:space="preserve">Contraintes relevées dans les métadonnées réelles (Requires-Dist) des versions installées.</t>
  </si>
  <si>
    <t xml:space="preserve">Point d'attention : contourpy 1.3.3 (figé) exige numpy ≥ 1.25 alors que matplotlib accepte numpy ≥ 1.23 : c'est contourpy qui fixe le plancher de numpy.</t>
  </si>
  <si>
    <t xml:space="preserve">Sensible à la version de Python</t>
  </si>
  <si>
    <t xml:space="preserve">Sensible à l'OS</t>
  </si>
  <si>
    <t xml:space="preserve">Sensible au 32 / 64 bits</t>
  </si>
  <si>
    <t xml:space="preserve">Contrainte Python</t>
  </si>
  <si>
    <t xml:space="preserve">Conséquence</t>
  </si>
  <si>
    <t xml:space="preserve">Requires-Python &gt;=3.11</t>
  </si>
  <si>
    <t xml:space="preserve">une wheel par version de Python × OS × architecture ; sans wheel adaptée, installation impossible sans compilateur</t>
  </si>
  <si>
    <t xml:space="preserve">Requires-Python &gt;=3.10</t>
  </si>
  <si>
    <t xml:space="preserve">non</t>
  </si>
  <si>
    <t xml:space="preserve">Requires-Python &gt;=3.8</t>
  </si>
  <si>
    <t xml:space="preserve">un seul fichier pour tous les cas</t>
  </si>
  <si>
    <t xml:space="preserve">Requires-Python &gt;=3.9</t>
  </si>
  <si>
    <t xml:space="preserve">Requires-Python !=3.0.*,!=3.1.*,!=3.2.*,&gt;=2.7</t>
  </si>
  <si>
    <t xml:space="preserve">Requires-Python &gt;=2.7, !=3.0.*, !=3.1.*, !=3.2.*</t>
  </si>
  <si>
    <t xml:space="preserve">tkinter (Tcl/Tk)</t>
  </si>
  <si>
    <t xml:space="preserve">fourni avec Python</t>
  </si>
  <si>
    <t xml:space="preserve">Tk 8.6 sous Windows (python.org, Spyder) et SLES ; Tk 9 exige matplotlib ≥ 3.10 (vérifié au démarrage)</t>
  </si>
  <si>
    <t xml:space="preserve">bibliothèque standard</t>
  </si>
  <si>
    <t xml:space="preserve">oui (modules ajoutés / retirés selon la version)</t>
  </si>
  <si>
    <t xml:space="preserve">rare : resource (Unix), ctypes.windll (Windows), isolés dans system/compat.py</t>
  </si>
  <si>
    <t xml:space="preserve">celle de Python</t>
  </si>
  <si>
    <t xml:space="preserve">testée de Python 3.10 à 3.14</t>
  </si>
  <si>
    <t xml:space="preserve">Réponse au commentaire de Sébastien (REQ 3004) : « Il y a des packages transverses toute version et d’autre plus restrictifs avec independances. Le plus fréquemment il y a une sensibilité à la version de python, l’OS, et le cœur 32 ou 63 bits »</t>
  </si>
  <si>
    <t xml:space="preserve">Les paquets « restrictifs » (compilés) sont numpy, matplotlib, contourpy, fonttools, kiwisolver et pillow : ce sont eux qu'il faut vérifier à chaque changement de Python, d'OS ou d'architecture. Les autres (cycler, packaging, pyparsing, python-dateutil, six) sont « transverses ».</t>
  </si>
  <si>
    <t xml:space="preserve">Élément</t>
  </si>
  <si>
    <t xml:space="preserve">Valeur</t>
  </si>
  <si>
    <t xml:space="preserve">Version de référence (développement)</t>
  </si>
  <si>
    <t xml:space="preserve">Python 3.11 (Spyder 6 au poste Windows ; python311 du module Python 3 de SLES 15 SP7)</t>
  </si>
  <si>
    <t xml:space="preserve">Versions vérifiées (suite de tests complète, IHM comprise)</t>
  </si>
  <si>
    <t xml:space="preserve">3.10, 3.11, 3.12, 3.13, 3.14 — voir § 4</t>
  </si>
  <si>
    <t xml:space="preserve">Version minimale acceptée par le code</t>
  </si>
  <si>
    <t xml:space="preserve">3.10 (ptbg/version.py, MIN_PYTHON) — contrôlée au lancement par MAIN.py</t>
  </si>
  <si>
    <t xml:space="preserve">Architecture</t>
  </si>
  <si>
    <t xml:space="preserve">64 bits (Windows 11 x64 et SLES x86-64, les cibles du projet). Des wheels 32 bits existent pour certains paquets, mais ce mode n'est ni ciblé ni testé</t>
  </si>
  <si>
    <t xml:space="preserve">Python 3.6 (REQ 3001)</t>
  </si>
  <si>
    <t xml:space="preserve">Non retenu : fin de vie en décembre 2021, dernières versions compatibles numpy 1.19 / matplotlib 3.3 ; le relecteur indique qu'un Python 3.11 est disponible sur SLES 15. Question ouverte n° 3 du récapitulatif Excel (onglet « Points ouverts »).</t>
  </si>
  <si>
    <t xml:space="preserve">Composant système — Windows 11 : Spyder 6 (interpréteur intégré) ou Python 3.11 64 bits de python.org avec l'option « tcl/tk and IDLE »</t>
  </si>
  <si>
    <t xml:space="preserve">interpréteur + Tk 8.6</t>
  </si>
  <si>
    <t xml:space="preserve">Composant système — SLES 15 SP7 : python311, python311-tk (module « Python 3 » de SLES), python311-pip</t>
  </si>
  <si>
    <t xml:space="preserve">interpréteur, Tk 8.6, pip</t>
  </si>
  <si>
    <t xml:space="preserve">Composant système — SLES 15 SP7 : glibc ≥ 2.28 (2.38 fournie)</t>
  </si>
  <si>
    <t xml:space="preserve">requis par les wheels manylinux de numpy, contourpy, pillow</t>
  </si>
  <si>
    <t xml:space="preserve">Composant système — SLES 15 SP7 : session graphique X11 (bureau ou ssh -X) ; xdg-utils (facultatif)</t>
  </si>
  <si>
    <t xml:space="preserve">affichage ; ouverture du PDF généré</t>
  </si>
  <si>
    <t xml:space="preserve">Poste Windows 11 relevé (30/10/2026)</t>
  </si>
  <si>
    <t xml:space="preserve">Python 3.11.10 (64 bits), Windows 11 (10.0.26100), Tk 8.6.13, interpréteur C:\ProgramData\LLS\spyder-6\envs\spyder-runtime\python.exe</t>
  </si>
  <si>
    <t xml:space="preserve">Module(s)</t>
  </si>
  <si>
    <t xml:space="preserve">Utilisation dans VISU PTBG</t>
  </si>
  <si>
    <t xml:space="preserve">Propre à un OS ?</t>
  </si>
  <si>
    <t xml:space="preserve">Version</t>
  </si>
  <si>
    <t xml:space="preserve">tkinter (et tkinter.ttk, filedialog, messagebox, simpledialog, font)</t>
  </si>
  <si>
    <t xml:space="preserve">toute l'interface ; exige Tcl/Tk (voir § 3 bis)</t>
  </si>
  <si>
    <t xml:space="preserve">Tcl/Tk requis (python311-tk sous SLES)</t>
  </si>
  <si>
    <t xml:space="preserve">fourni avec Python (aucune installation)</t>
  </si>
  <si>
    <t xml:space="preserve">csv</t>
  </si>
  <si>
    <t xml:space="preserve">lecture des CSV, export des résultats du traitement conditionnel</t>
  </si>
  <si>
    <t xml:space="preserve">io</t>
  </si>
  <si>
    <t xml:space="preserve">flux texte décodé sur le fichier binaire (avancement de lecture)</t>
  </si>
  <si>
    <t xml:space="preserve">codecs</t>
  </si>
  <si>
    <t xml:space="preserve">contrôle UTF-8 par blocs et lecture de secours Windows-1252 des octets non UTF-8 (signalée, REQ 2302)</t>
  </si>
  <si>
    <t xml:space="preserve">hashlib</t>
  </si>
  <si>
    <t xml:space="preserve">SHA-256 des CSV, du projet et des modules (en-tête de rapport, Information &gt; Sources)</t>
  </si>
  <si>
    <t xml:space="preserve">json</t>
  </si>
  <si>
    <t xml:space="preserve">préférences et fichier projet</t>
  </si>
  <si>
    <t xml:space="preserve">re</t>
  </si>
  <si>
    <t xml:space="preserve">formats de temps, unités dans les en-têtes, groupes binaires NOM[i]</t>
  </si>
  <si>
    <t xml:space="preserve">math</t>
  </si>
  <si>
    <t xml:space="preserve">valeurs finies, graduations de l'axe des temps</t>
  </si>
  <si>
    <t xml:space="preserve">datetime</t>
  </si>
  <si>
    <t xml:space="preserve">dates absolues, horloge de la barre d'état, journal</t>
  </si>
  <si>
    <t xml:space="preserve">dataclasses, enum, typing, collections, itertools, copy</t>
  </si>
  <si>
    <t xml:space="preserve">structures de données ; itertools (chain, repeat) pour la lecture par blocs</t>
  </si>
  <si>
    <t xml:space="preserve">threading, queue, traceback</t>
  </si>
  <si>
    <t xml:space="preserve">lecture et analyse en arrière-plan (REQ 4105)</t>
  </si>
  <si>
    <t xml:space="preserve">pathlib, os</t>
  </si>
  <si>
    <t xml:space="preserve">chemins portables, renommage atomique du PDF, chemins relatifs du projet</t>
  </si>
  <si>
    <t xml:space="preserve">uuid</t>
  </si>
  <si>
    <t xml:space="preserve">identifiants des fichiers et paquets</t>
  </si>
  <si>
    <t xml:space="preserve">textwrap</t>
  </si>
  <si>
    <t xml:space="preserve">mise en page des textes du PDF</t>
  </si>
  <si>
    <t xml:space="preserve">getpass</t>
  </si>
  <si>
    <t xml:space="preserve">nom de l'utilisateur (barre d'état, émetteur du rapport)</t>
  </si>
  <si>
    <t xml:space="preserve">platform, struct, sys, importlib (importlib.metadata)</t>
  </si>
  <si>
    <t xml:space="preserve">relevé de l'environnement (REQ 3004)</t>
  </si>
  <si>
    <t xml:space="preserve">subprocess, ctypes</t>
  </si>
  <si>
    <t xml:space="preserve">ouverture du PDF (xdg-open sous Linux), écran haute résolution et mémoire du processus sous Windows</t>
  </si>
  <si>
    <t xml:space="preserve">appels Windows (windll) isolés dans system/compat.py</t>
  </si>
  <si>
    <t xml:space="preserve">resource</t>
  </si>
  <si>
    <t xml:space="preserve">mémoire maximale du processus sous Linux (banc de performance) ; module propre à Unix, importé seulement hors Windows (system/compat.py)</t>
  </si>
  <si>
    <t xml:space="preserve">Unix seulement (importé hors Windows)</t>
  </si>
  <si>
    <t xml:space="preserve">Combinaison</t>
  </si>
  <si>
    <t xml:space="preserve">Système</t>
  </si>
  <si>
    <t xml:space="preserve">Python</t>
  </si>
  <si>
    <t xml:space="preserve">Tcl/Tk</t>
  </si>
  <si>
    <t xml:space="preserve">Suite</t>
  </si>
  <si>
    <t xml:space="preserve">Résultat</t>
  </si>
  <si>
    <t xml:space="preserve">Date</t>
  </si>
  <si>
    <t xml:space="preserve">Remarque</t>
  </si>
  <si>
    <t xml:space="preserve">poste-windows-spyder</t>
  </si>
  <si>
    <t xml:space="preserve">Windows 11 (10.0.26100), Spyder 6</t>
  </si>
  <si>
    <t xml:space="preserve">3.11.10</t>
  </si>
  <si>
    <t xml:space="preserve">8.6.13</t>
  </si>
  <si>
    <t xml:space="preserve">utilisation réelle</t>
  </si>
  <si>
    <t xml:space="preserve">OK (outil lancé, CSV du projet chargé, statut OK)</t>
  </si>
  <si>
    <t xml:space="preserve">30/10/2026</t>
  </si>
  <si>
    <t xml:space="preserve">relevé Information &gt; Sources</t>
  </si>
  <si>
    <t xml:space="preserve">py312-poste-tk86</t>
  </si>
  <si>
    <t xml:space="preserve">Linux x86-64</t>
  </si>
  <si>
    <t xml:space="preserve">3.12.3</t>
  </si>
  <si>
    <t xml:space="preserve">8.6.14</t>
  </si>
  <si>
    <t xml:space="preserve">145 tests</t>
  </si>
  <si>
    <t xml:space="preserve">OK</t>
  </si>
  <si>
    <t xml:space="preserve">mêmes versions de bibliothèques que le poste Spyder (et mêmes transitives) ; interface comprise</t>
  </si>
  <si>
    <t xml:space="preserve">py311-poste</t>
  </si>
  <si>
    <t xml:space="preserve">3.11.15</t>
  </si>
  <si>
    <t xml:space="preserve">9.0.3</t>
  </si>
  <si>
    <t xml:space="preserve">OK (20 tests interface ignorés)</t>
  </si>
  <si>
    <t xml:space="preserve">même Python que le poste ; interface refusée proprement (matplotlib 3.9 + Tk 9), le poste a Tk 8.6</t>
  </si>
  <si>
    <t xml:space="preserve">py311-ref-tk9</t>
  </si>
  <si>
    <t xml:space="preserve">référence requirements.txt</t>
  </si>
  <si>
    <t xml:space="preserve">py312-ref-tk86</t>
  </si>
  <si>
    <t xml:space="preserve">Tk 8.6 « partagé » comme sous Windows et SLES</t>
  </si>
  <si>
    <t xml:space="preserve">py310-min-tk9</t>
  </si>
  <si>
    <t xml:space="preserve">3.10.20</t>
  </si>
  <si>
    <t xml:space="preserve">1.24.4</t>
  </si>
  <si>
    <t xml:space="preserve">3.6.3</t>
  </si>
  <si>
    <t xml:space="preserve">OK (20 tests IHM ignorés)</t>
  </si>
  <si>
    <t xml:space="preserve">IHM refusée au démarrage avec message clair (matplotlib &lt; 3.10 avec Tk 9)</t>
  </si>
  <si>
    <t xml:space="preserve">131 tests</t>
  </si>
  <si>
    <t xml:space="preserve">OK (12 tests IHM ignorés)</t>
  </si>
  <si>
    <t xml:space="preserve">28/10/2026</t>
  </si>
  <si>
    <t xml:space="preserve">py311-mpl39-tk9</t>
  </si>
  <si>
    <t xml:space="preserve">1.26.4</t>
  </si>
  <si>
    <t xml:space="preserve">3.9.4</t>
  </si>
  <si>
    <t xml:space="preserve">py312-old-tk86</t>
  </si>
  <si>
    <t xml:space="preserve">3.8.4</t>
  </si>
  <si>
    <t xml:space="preserve">idem, bibliothèques anciennes</t>
  </si>
  <si>
    <t xml:space="preserve">py313-ref-tk9</t>
  </si>
  <si>
    <t xml:space="preserve">3.13.14</t>
  </si>
  <si>
    <t xml:space="preserve">py314-latest-tk9</t>
  </si>
  <si>
    <t xml:space="preserve">3.14.6</t>
  </si>
  <si>
    <t xml:space="preserve">2.5.4</t>
  </si>
  <si>
    <t xml:space="preserve">3.11.2</t>
  </si>
  <si>
    <t xml:space="preserve">versions les plus récentes</t>
  </si>
  <si>
    <t xml:space="preserve">Campagne antérieure (suite de 120 tests) : 12 combinaisons de Python 3.10 à 3.14, Tk 8.6.12 à 9.0.3, numpy 1.24.4 à 2.5.4, matplotlib 3.6.3 à 3.11.2 : toutes OK (docs/DEPENDANCES.md § 4).</t>
  </si>
  <si>
    <t xml:space="preserve">Les wheels de requirements.txt ont été vérifiées disponibles sans compilation pour Python 3.11 à 3.14, en win_amd64 (Windows 11) et en manylinux x86-64 (SLES 15 SP7).</t>
  </si>
  <si>
    <t xml:space="preserve">Si l'on passe à…</t>
  </si>
  <si>
    <t xml:space="preserve">Transitives</t>
  </si>
  <si>
    <t xml:space="preserve">Effet sur VISU PTBG</t>
  </si>
  <si>
    <t xml:space="preserve">Verdict</t>
  </si>
  <si>
    <t xml:space="preserve">Python : 3.12 ou 3.13</t>
  </si>
  <si>
    <t xml:space="preserve">inchangé (2.4.6)</t>
  </si>
  <si>
    <t xml:space="preserve">inchangé (3.10.9)</t>
  </si>
  <si>
    <t xml:space="preserve">inchangées</t>
  </si>
  <si>
    <t xml:space="preserve">aucun changement (testé)</t>
  </si>
  <si>
    <t xml:space="preserve">testé</t>
  </si>
  <si>
    <t xml:space="preserve">Python : 3.14</t>
  </si>
  <si>
    <t xml:space="preserve">Python : 3.15</t>
  </si>
  <si>
    <t xml:space="preserve">≥ 2.5.2 (premières wheels cp315)</t>
  </si>
  <si>
    <t xml:space="preserve">≥ 3.11.2 (3.10.x n'a pas de wheel cp315)</t>
  </si>
  <si>
    <t xml:space="preserve">contourpy ≥ 1.4.0 ; pillow 12.3.0 convient ; vérifier kiwisolver et fonttools (§ 5.3, étape 2)</t>
  </si>
  <si>
    <t xml:space="preserve">à requalifier (suite de tests)</t>
  </si>
  <si>
    <t xml:space="preserve">à requalifier</t>
  </si>
  <si>
    <t xml:space="preserve">Python : Retour à 3.10</t>
  </si>
  <si>
    <t xml:space="preserve">≤ 2.2.x (numpy 2.3+ exige 3.11)</t>
  </si>
  <si>
    <t xml:space="preserve">3.10.9 possible</t>
  </si>
  <si>
    <t xml:space="preserve">contourpy ≤ 1.3.2, fonttools ≤ 4.65</t>
  </si>
  <si>
    <t xml:space="preserve">code compatible (testé avec numpy 1.24)</t>
  </si>
  <si>
    <t xml:space="preserve">Bibliothèque : numpy 2.5.x</t>
  </si>
  <si>
    <t xml:space="preserve">abandonne Python 3.11 (exige ≥ 3.12) : incompatible avec la référence 3.11 ; code VISU testé compatible avec 2.5.4 sous 3.12 et 3.14</t>
  </si>
  <si>
    <t xml:space="preserve">bloquant pour Python 3.11</t>
  </si>
  <si>
    <t xml:space="preserve">Bibliothèque : matplotlib 3.11.x</t>
  </si>
  <si>
    <t xml:space="preserve">abandonne Python 3.10 ; code VISU testé compatible (3.11.2)</t>
  </si>
  <si>
    <t xml:space="preserve">Bibliothèque : contourpy 1.4.x</t>
  </si>
  <si>
    <t xml:space="preserve">exige Python ≥ 3.12</t>
  </si>
  <si>
    <t xml:space="preserve">Bibliothèque : fonttools ≥ 4.66</t>
  </si>
  <si>
    <t xml:space="preserve">exige Python ≥ 3.11</t>
  </si>
  <si>
    <t xml:space="preserve">compatible avec Python 3.11</t>
  </si>
  <si>
    <t xml:space="preserve">Bibliothèque : pillow 13.x</t>
  </si>
  <si>
    <t xml:space="preserve">Bibliothèque : python-dateutil 3.0.0 (octobre 2026)</t>
  </si>
  <si>
    <t xml:space="preserve">ajoute une nouvelle dépendance tzdata : à évaluer avant adoption (non retenu)</t>
  </si>
  <si>
    <t xml:space="preserve">à évaluer</t>
  </si>
  <si>
    <t xml:space="preserve">Bibliothèque : numpy 1.x (environnement Spyder plus ancien)</t>
  </si>
  <si>
    <t xml:space="preserve">code compatible à partir de numpy 1.24 (testé 1.24.4 et 1.26.4)</t>
  </si>
  <si>
    <t xml:space="preserve">Bibliothèque : matplotlib 3.6 à 3.9</t>
  </si>
  <si>
    <t xml:space="preserve">traitements, rendu et PDF compatibles (testés) ; IHM validée avec Tk 8.6 ; avec Tk 9.0, l'intégration TkAgg de matplotlib &lt; 3.10 échoue (« Failed to load Tcl_SetVar ») : l'outil le détecte au démarrage et affiche un message clair</t>
  </si>
  <si>
    <t xml:space="preserve">Bibliothèque : pyparsing ≥ 3.3 avec un matplotlib ancien (&lt; 3.9)</t>
  </si>
  <si>
    <t xml:space="preserve">avertissements PyparsingDeprecationWarning émis par matplotlib (pas par VISU PTBG) ; sans effet fonctionnel</t>
  </si>
  <si>
    <t xml:space="preserve">information</t>
  </si>
  <si>
    <t xml:space="preserve">Bibliothèque : Tcl/Tk 9.0 (Python récents « standalone », certaines distributions)</t>
  </si>
  <si>
    <t xml:space="preserve">exige matplotlib ≥ 3.10 (testé 3.10.9 et 3.11.2) ; Windows python.org 3.11, Spyder et SLES 15 SP7 fournissent Tk 8.6</t>
  </si>
  <si>
    <t xml:space="preserve">Poste Spyder : passage à numpy 2.4 / matplotlib 3.10 (versions figées)</t>
  </si>
  <si>
    <t xml:space="preserve">celles de requirements.txt</t>
  </si>
  <si>
    <t xml:space="preserve">aucun changement de code (version de référence)</t>
  </si>
  <si>
    <t xml:space="preserve">Poste Spyder : reste en numpy 2.2.0 / matplotlib 3.9.3</t>
  </si>
  <si>
    <t xml:space="preserve">celles du poste</t>
  </si>
  <si>
    <t xml:space="preserve">aucun changement de code ; 145 tests OK le 30/10/2026</t>
  </si>
  <si>
    <t xml:space="preserve">Étape</t>
  </si>
  <si>
    <t xml:space="preserve">Action</t>
  </si>
  <si>
    <t xml:space="preserve">Commande / référence</t>
  </si>
  <si>
    <t xml:space="preserve">Fait le</t>
  </si>
  <si>
    <t xml:space="preserve">Par</t>
  </si>
  <si>
    <t xml:space="preserve">Résultat / remarque</t>
  </si>
  <si>
    <t xml:space="preserve">Lire les notes de version (API changes, deprecations, dropped support) et le Requires-Python de chaque paquet modifié</t>
  </si>
  <si>
    <t xml:space="preserve">pypi.org / notes de version</t>
  </si>
  <si>
    <t xml:space="preserve">Vérifier les wheels pour Windows 11</t>
  </si>
  <si>
    <t xml:space="preserve">python -m pip download --only-binary=:all: --platform win_amd64 --python-version 3.11 -r requirements.txt -d wheels_win</t>
  </si>
  <si>
    <t xml:space="preserve">Vérifier les wheels pour SLES 15 SP7</t>
  </si>
  <si>
    <t xml:space="preserve">idem avec --platform manylinux2014_x86_64 --platform manylinux_2_28_x86_64</t>
  </si>
  <si>
    <t xml:space="preserve">Créer un environnement neuf avec les nouvelles versions et relever l'environnement</t>
  </si>
  <si>
    <t xml:space="preserve">python tools/audit_environnement.py</t>
  </si>
  <si>
    <t xml:space="preserve">Lancer toute la suite de tests (zéro échec, zéro test ignoré hors absence d'écran)</t>
  </si>
  <si>
    <t xml:space="preserve">python -m unittest discover -s tests -v</t>
  </si>
  <si>
    <t xml:space="preserve">Mesurer les performances sur de vrais fichiers PTBG</t>
  </si>
  <si>
    <t xml:space="preserve">python tools/banc_performance.py fichiers.csv</t>
  </si>
  <si>
    <t xml:space="preserve">Faire l'essai de réception de 15 minutes sur chaque poste cible</t>
  </si>
  <si>
    <t xml:space="preserve">docs/COMPATIBILITE_OS.md § 5</t>
  </si>
  <si>
    <t xml:space="preserve">Mettre à jour requirements.txt, docs/DEPENDANCES.md, TESTED_RANGES (ptbg/system/environment.py), CHANGELOG.md et ce classeur</t>
  </si>
  <si>
    <t xml:space="preserve">Poste</t>
  </si>
  <si>
    <t xml:space="preserve">Résultat de l'essai</t>
  </si>
  <si>
    <t xml:space="preserve">Windows 11 / Spyder 6 (alternance)</t>
  </si>
  <si>
    <t xml:space="preserve">Windows 11 (10.0.26100)</t>
  </si>
  <si>
    <t xml:space="preserve">3.11.10 (64 bits)</t>
  </si>
  <si>
    <t xml:space="preserve">outil lancé, CSV du projet chargé (statut OK)</t>
  </si>
  <si>
    <t xml:space="preserve">Référence requirements.txt</t>
  </si>
  <si>
    <t xml:space="preserve">Windows 11 et SLES 15 SP7</t>
  </si>
  <si>
    <t xml:space="preserve">3.11</t>
  </si>
  <si>
    <t xml:space="preserve">8.6</t>
  </si>
  <si>
    <t xml:space="preserve">145 tests OK</t>
  </si>
  <si>
    <t xml:space="preserve">Service Unit SLES 15 SP7</t>
  </si>
  <si>
    <t xml:space="preserve">Autre poste</t>
  </si>
  <si>
    <t xml:space="preserve">Pour remplir une ligne : dans l'outil, Information &gt; Sources, puis recopier la section « Environnement d'exécution et bibliothèques » (ou lancer python tools/audit_environnement.py). Orange = différent de requirements.txt (pas forcément incompatible : voir « Campagnes de tests »).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</si>
</sst>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4CCCC"/>
        <bgColor rgb="FFCCCCFF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4CCCC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DDEBF7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7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10" customFormat="false" ht="17.35" hidden="false" customHeight="false" outlineLevel="0" collapsed="false">
      <c r="A10" s="1" t="s">
        <v>13</v>
      </c>
    </row>
    <row r="11" customFormat="false" ht="15" hidden="false" customHeight="false" outlineLevel="0" collapsed="false">
      <c r="A11" s="4" t="s">
        <v>14</v>
      </c>
      <c r="B11" s="5" t="n">
        <f aca="false">COUNTA(Bibliothèques!A2:A12)</f>
        <v>11</v>
      </c>
    </row>
    <row r="12" customFormat="false" ht="15" hidden="false" customHeight="false" outlineLevel="0" collapsed="false">
      <c r="A12" s="4" t="s">
        <v>15</v>
      </c>
      <c r="B12" s="5" t="n">
        <f aca="false">COUNTIF(Bibliothèques!B2:B12,"directe")</f>
        <v>2</v>
      </c>
    </row>
    <row r="13" customFormat="false" ht="15" hidden="false" customHeight="false" outlineLevel="0" collapsed="false">
      <c r="A13" s="4" t="s">
        <v>16</v>
      </c>
      <c r="B13" s="5" t="n">
        <f aca="false">COUNTIF(Bibliothèques!H2:H12,"restrictif*")</f>
        <v>6</v>
      </c>
    </row>
    <row r="14" customFormat="false" ht="15" hidden="false" customHeight="false" outlineLevel="0" collapsed="false">
      <c r="A14" s="4" t="s">
        <v>17</v>
      </c>
      <c r="B14" s="5" t="n">
        <f aca="false">COUNTIF(Bibliothèques!H2:H12,"transverse*")</f>
        <v>5</v>
      </c>
    </row>
    <row r="15" customFormat="false" ht="15" hidden="false" customHeight="false" outlineLevel="0" collapsed="false">
      <c r="A15" s="4" t="s">
        <v>18</v>
      </c>
      <c r="B15" s="5" t="n">
        <f aca="false">COUNTIF(Bibliothèques!G2:G12,"différente")</f>
        <v>8</v>
      </c>
    </row>
    <row r="16" customFormat="false" ht="15" hidden="false" customHeight="false" outlineLevel="0" collapsed="false">
      <c r="A16" s="4" t="s">
        <v>19</v>
      </c>
      <c r="B16" s="5" t="n">
        <f aca="false">COUNTA('Bibliothèque standard'!A2:A100)</f>
        <v>18</v>
      </c>
    </row>
    <row r="17" customFormat="false" ht="15" hidden="false" customHeight="false" outlineLevel="0" collapsed="false">
      <c r="A17" s="4" t="s">
        <v>20</v>
      </c>
      <c r="B17" s="5" t="n">
        <f aca="false">COUNTA('Campagnes de tests'!A2:A100)</f>
        <v>15</v>
      </c>
    </row>
    <row r="18" customFormat="false" ht="15" hidden="false" customHeight="false" outlineLevel="0" collapsed="false">
      <c r="A18" s="4" t="s">
        <v>21</v>
      </c>
      <c r="B18" s="5" t="n">
        <f aca="false">COUNTIF('Campagnes de tests'!H2:H100,"ÉCHEC*")</f>
        <v>0</v>
      </c>
    </row>
    <row r="20" customFormat="false" ht="17.35" hidden="false" customHeight="false" outlineLevel="0" collapsed="false">
      <c r="A20" s="1" t="s">
        <v>22</v>
      </c>
    </row>
    <row r="21" customFormat="false" ht="15" hidden="false" customHeight="false" outlineLevel="0" collapsed="false">
      <c r="A21" s="6" t="s">
        <v>23</v>
      </c>
    </row>
    <row r="22" customFormat="false" ht="15" hidden="false" customHeight="false" outlineLevel="0" collapsed="false">
      <c r="A22" s="7" t="s">
        <v>24</v>
      </c>
    </row>
    <row r="23" customFormat="false" ht="15" hidden="false" customHeight="false" outlineLevel="0" collapsed="false">
      <c r="A23" s="8" t="s">
        <v>25</v>
      </c>
    </row>
    <row r="24" customFormat="false" ht="15" hidden="false" customHeight="false" outlineLevel="0" collapsed="false">
      <c r="A24" s="9" t="s">
        <v>26</v>
      </c>
    </row>
    <row r="25" customFormat="false" ht="15" hidden="false" customHeight="false" outlineLevel="0" collapsed="false">
      <c r="A25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3" min="12" style="0" width="22"/>
    <col collapsed="false" customWidth="true" hidden="false" outlineLevel="0" max="14" min="14" style="0" width="26"/>
  </cols>
  <sheetData>
    <row r="1" customFormat="false" ht="33.75" hidden="false" customHeight="true" outlineLevel="0" collapsed="false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</row>
    <row r="2" customFormat="false" ht="32.8" hidden="false" customHeight="false" outlineLevel="0" collapsed="false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tr">
        <f aca="false">IF(E2=F2,"identique","différente")</f>
        <v>différente</v>
      </c>
      <c r="H2" s="12" t="s">
        <v>48</v>
      </c>
      <c r="I2" s="12" t="s">
        <v>49</v>
      </c>
      <c r="J2" s="12" t="s">
        <v>50</v>
      </c>
      <c r="K2" s="12" t="s">
        <v>51</v>
      </c>
      <c r="L2" s="12" t="s">
        <v>52</v>
      </c>
      <c r="M2" s="12" t="s">
        <v>53</v>
      </c>
      <c r="N2" s="12" t="s">
        <v>54</v>
      </c>
    </row>
    <row r="3" customFormat="false" ht="32.8" hidden="false" customHeight="false" outlineLevel="0" collapsed="false">
      <c r="A3" s="12" t="s">
        <v>55</v>
      </c>
      <c r="B3" s="12" t="s">
        <v>43</v>
      </c>
      <c r="C3" s="12" t="s">
        <v>56</v>
      </c>
      <c r="D3" s="12" t="s">
        <v>57</v>
      </c>
      <c r="E3" s="12" t="s">
        <v>58</v>
      </c>
      <c r="F3" s="12" t="s">
        <v>59</v>
      </c>
      <c r="G3" s="12" t="str">
        <f aca="false">IF(E3=F3,"identique","différente")</f>
        <v>différente</v>
      </c>
      <c r="H3" s="12" t="s">
        <v>48</v>
      </c>
      <c r="I3" s="12" t="s">
        <v>50</v>
      </c>
      <c r="J3" s="12" t="s">
        <v>60</v>
      </c>
      <c r="K3" s="12" t="s">
        <v>51</v>
      </c>
      <c r="L3" s="12" t="s">
        <v>61</v>
      </c>
      <c r="M3" s="12" t="s">
        <v>53</v>
      </c>
      <c r="N3" s="12" t="s">
        <v>62</v>
      </c>
    </row>
    <row r="4" customFormat="false" ht="32.8" hidden="false" customHeight="false" outlineLevel="0" collapsed="false">
      <c r="A4" s="12" t="s">
        <v>63</v>
      </c>
      <c r="B4" s="12" t="s">
        <v>64</v>
      </c>
      <c r="C4" s="12" t="s">
        <v>55</v>
      </c>
      <c r="D4" s="12" t="s">
        <v>65</v>
      </c>
      <c r="E4" s="12" t="s">
        <v>66</v>
      </c>
      <c r="F4" s="12" t="s">
        <v>67</v>
      </c>
      <c r="G4" s="12" t="str">
        <f aca="false">IF(E4=F4,"identique","différente")</f>
        <v>différente</v>
      </c>
      <c r="H4" s="12" t="s">
        <v>48</v>
      </c>
      <c r="I4" s="12" t="s">
        <v>49</v>
      </c>
      <c r="J4" s="12" t="s">
        <v>50</v>
      </c>
      <c r="K4" s="12" t="s">
        <v>51</v>
      </c>
      <c r="L4" s="12" t="s">
        <v>68</v>
      </c>
      <c r="M4" s="12" t="s">
        <v>53</v>
      </c>
      <c r="N4" s="12" t="s">
        <v>69</v>
      </c>
    </row>
    <row r="5" customFormat="false" ht="22.35" hidden="false" customHeight="false" outlineLevel="0" collapsed="false">
      <c r="A5" s="12" t="s">
        <v>70</v>
      </c>
      <c r="B5" s="12" t="s">
        <v>64</v>
      </c>
      <c r="C5" s="12" t="s">
        <v>55</v>
      </c>
      <c r="D5" s="12" t="s">
        <v>71</v>
      </c>
      <c r="E5" s="12" t="s">
        <v>72</v>
      </c>
      <c r="F5" s="12" t="s">
        <v>72</v>
      </c>
      <c r="G5" s="12" t="str">
        <f aca="false">IF(E5=F5,"identique","différente")</f>
        <v>identique</v>
      </c>
      <c r="H5" s="12" t="s">
        <v>73</v>
      </c>
      <c r="I5" s="12" t="s">
        <v>74</v>
      </c>
      <c r="J5" s="12" t="s">
        <v>74</v>
      </c>
      <c r="K5" s="12" t="s">
        <v>75</v>
      </c>
      <c r="L5" s="12" t="s">
        <v>75</v>
      </c>
      <c r="M5" s="12" t="s">
        <v>76</v>
      </c>
      <c r="N5" s="12" t="s">
        <v>69</v>
      </c>
    </row>
    <row r="6" customFormat="false" ht="32.8" hidden="false" customHeight="false" outlineLevel="0" collapsed="false">
      <c r="A6" s="12" t="s">
        <v>77</v>
      </c>
      <c r="B6" s="12" t="s">
        <v>64</v>
      </c>
      <c r="C6" s="12" t="s">
        <v>55</v>
      </c>
      <c r="D6" s="12" t="s">
        <v>78</v>
      </c>
      <c r="E6" s="12" t="s">
        <v>79</v>
      </c>
      <c r="F6" s="12" t="s">
        <v>80</v>
      </c>
      <c r="G6" s="12" t="str">
        <f aca="false">IF(E6=F6,"identique","différente")</f>
        <v>différente</v>
      </c>
      <c r="H6" s="12" t="s">
        <v>48</v>
      </c>
      <c r="I6" s="12" t="s">
        <v>50</v>
      </c>
      <c r="J6" s="12" t="s">
        <v>74</v>
      </c>
      <c r="K6" s="12" t="s">
        <v>51</v>
      </c>
      <c r="L6" s="12" t="s">
        <v>81</v>
      </c>
      <c r="M6" s="12" t="s">
        <v>53</v>
      </c>
      <c r="N6" s="12" t="s">
        <v>82</v>
      </c>
    </row>
    <row r="7" customFormat="false" ht="32.8" hidden="false" customHeight="false" outlineLevel="0" collapsed="false">
      <c r="A7" s="12" t="s">
        <v>83</v>
      </c>
      <c r="B7" s="12" t="s">
        <v>64</v>
      </c>
      <c r="C7" s="12" t="s">
        <v>55</v>
      </c>
      <c r="D7" s="12" t="s">
        <v>84</v>
      </c>
      <c r="E7" s="12" t="s">
        <v>85</v>
      </c>
      <c r="F7" s="12" t="s">
        <v>86</v>
      </c>
      <c r="G7" s="12" t="str">
        <f aca="false">IF(E7=F7,"identique","différente")</f>
        <v>différente</v>
      </c>
      <c r="H7" s="12" t="s">
        <v>48</v>
      </c>
      <c r="I7" s="12" t="s">
        <v>50</v>
      </c>
      <c r="J7" s="12" t="s">
        <v>74</v>
      </c>
      <c r="K7" s="12" t="s">
        <v>51</v>
      </c>
      <c r="L7" s="12" t="s">
        <v>87</v>
      </c>
      <c r="M7" s="12" t="s">
        <v>53</v>
      </c>
      <c r="N7" s="12" t="s">
        <v>69</v>
      </c>
    </row>
    <row r="8" customFormat="false" ht="22.35" hidden="false" customHeight="false" outlineLevel="0" collapsed="false">
      <c r="A8" s="12" t="s">
        <v>88</v>
      </c>
      <c r="B8" s="12" t="s">
        <v>64</v>
      </c>
      <c r="C8" s="12" t="s">
        <v>55</v>
      </c>
      <c r="D8" s="12" t="s">
        <v>89</v>
      </c>
      <c r="E8" s="12" t="s">
        <v>90</v>
      </c>
      <c r="F8" s="12" t="s">
        <v>91</v>
      </c>
      <c r="G8" s="12" t="str">
        <f aca="false">IF(E8=F8,"identique","différente")</f>
        <v>différente</v>
      </c>
      <c r="H8" s="12" t="s">
        <v>73</v>
      </c>
      <c r="I8" s="12" t="s">
        <v>74</v>
      </c>
      <c r="J8" s="12" t="s">
        <v>74</v>
      </c>
      <c r="K8" s="12" t="s">
        <v>75</v>
      </c>
      <c r="L8" s="12" t="s">
        <v>75</v>
      </c>
      <c r="M8" s="12" t="s">
        <v>76</v>
      </c>
      <c r="N8" s="12" t="s">
        <v>92</v>
      </c>
    </row>
    <row r="9" customFormat="false" ht="32.8" hidden="false" customHeight="false" outlineLevel="0" collapsed="false">
      <c r="A9" s="12" t="s">
        <v>93</v>
      </c>
      <c r="B9" s="12" t="s">
        <v>64</v>
      </c>
      <c r="C9" s="12" t="s">
        <v>55</v>
      </c>
      <c r="D9" s="12" t="s">
        <v>94</v>
      </c>
      <c r="E9" s="12" t="s">
        <v>95</v>
      </c>
      <c r="F9" s="12" t="s">
        <v>96</v>
      </c>
      <c r="G9" s="12" t="str">
        <f aca="false">IF(E9=F9,"identique","différente")</f>
        <v>différente</v>
      </c>
      <c r="H9" s="12" t="s">
        <v>48</v>
      </c>
      <c r="I9" s="12" t="s">
        <v>50</v>
      </c>
      <c r="J9" s="12" t="s">
        <v>60</v>
      </c>
      <c r="K9" s="12" t="s">
        <v>51</v>
      </c>
      <c r="L9" s="12" t="s">
        <v>97</v>
      </c>
      <c r="M9" s="12" t="s">
        <v>53</v>
      </c>
      <c r="N9" s="12" t="s">
        <v>98</v>
      </c>
    </row>
    <row r="10" customFormat="false" ht="22.35" hidden="false" customHeight="false" outlineLevel="0" collapsed="false">
      <c r="A10" s="12" t="s">
        <v>99</v>
      </c>
      <c r="B10" s="12" t="s">
        <v>64</v>
      </c>
      <c r="C10" s="12" t="s">
        <v>55</v>
      </c>
      <c r="D10" s="12" t="s">
        <v>100</v>
      </c>
      <c r="E10" s="12" t="s">
        <v>101</v>
      </c>
      <c r="F10" s="12" t="s">
        <v>102</v>
      </c>
      <c r="G10" s="12" t="str">
        <f aca="false">IF(E10=F10,"identique","différente")</f>
        <v>différente</v>
      </c>
      <c r="H10" s="12" t="s">
        <v>73</v>
      </c>
      <c r="I10" s="12" t="s">
        <v>60</v>
      </c>
      <c r="J10" s="12" t="s">
        <v>60</v>
      </c>
      <c r="K10" s="12" t="s">
        <v>75</v>
      </c>
      <c r="L10" s="12" t="s">
        <v>75</v>
      </c>
      <c r="M10" s="12" t="s">
        <v>76</v>
      </c>
      <c r="N10" s="12" t="s">
        <v>82</v>
      </c>
    </row>
    <row r="11" customFormat="false" ht="22.35" hidden="false" customHeight="false" outlineLevel="0" collapsed="false">
      <c r="A11" s="12" t="s">
        <v>103</v>
      </c>
      <c r="B11" s="12" t="s">
        <v>64</v>
      </c>
      <c r="C11" s="12" t="s">
        <v>55</v>
      </c>
      <c r="D11" s="12" t="s">
        <v>104</v>
      </c>
      <c r="E11" s="12" t="s">
        <v>105</v>
      </c>
      <c r="F11" s="12" t="s">
        <v>105</v>
      </c>
      <c r="G11" s="12" t="str">
        <f aca="false">IF(E11=F11,"identique","différente")</f>
        <v>identique</v>
      </c>
      <c r="H11" s="12" t="s">
        <v>73</v>
      </c>
      <c r="I11" s="12" t="s">
        <v>106</v>
      </c>
      <c r="J11" s="12" t="s">
        <v>106</v>
      </c>
      <c r="K11" s="12" t="s">
        <v>75</v>
      </c>
      <c r="L11" s="12" t="s">
        <v>75</v>
      </c>
      <c r="M11" s="12" t="s">
        <v>76</v>
      </c>
      <c r="N11" s="12" t="s">
        <v>107</v>
      </c>
    </row>
    <row r="12" customFormat="false" ht="22.35" hidden="false" customHeight="false" outlineLevel="0" collapsed="false">
      <c r="A12" s="12" t="s">
        <v>108</v>
      </c>
      <c r="B12" s="12" t="s">
        <v>64</v>
      </c>
      <c r="C12" s="12" t="s">
        <v>103</v>
      </c>
      <c r="D12" s="12" t="s">
        <v>109</v>
      </c>
      <c r="E12" s="12" t="s">
        <v>110</v>
      </c>
      <c r="F12" s="12" t="s">
        <v>110</v>
      </c>
      <c r="G12" s="12" t="str">
        <f aca="false">IF(E12=F12,"identique","différente")</f>
        <v>identique</v>
      </c>
      <c r="H12" s="12" t="s">
        <v>73</v>
      </c>
      <c r="I12" s="12" t="s">
        <v>111</v>
      </c>
      <c r="J12" s="12" t="s">
        <v>111</v>
      </c>
      <c r="K12" s="12" t="s">
        <v>75</v>
      </c>
      <c r="L12" s="12" t="s">
        <v>75</v>
      </c>
      <c r="M12" s="12" t="s">
        <v>76</v>
      </c>
      <c r="N12" s="12" t="s">
        <v>82</v>
      </c>
    </row>
    <row r="14" customFormat="false" ht="15" hidden="false" customHeight="false" outlineLevel="0" collapsed="false">
      <c r="A14" s="4" t="s">
        <v>112</v>
      </c>
    </row>
  </sheetData>
  <autoFilter ref="A1:N12"/>
  <conditionalFormatting sqref="G2:G12">
    <cfRule type="expression" priority="2" aboveAverage="0" equalAverage="0" bottom="0" percent="0" rank="0" text="" dxfId="5">
      <formula>$G2="identique"</formula>
    </cfRule>
    <cfRule type="expression" priority="3" aboveAverage="0" equalAverage="0" bottom="0" percent="0" rank="0" text="" dxfId="6">
      <formula>$G2="différente"</formula>
    </cfRule>
  </conditionalFormatting>
  <conditionalFormatting sqref="H2:H12">
    <cfRule type="expression" priority="4" aboveAverage="0" equalAverage="0" bottom="0" percent="0" rank="0" text="" dxfId="6">
      <formula>LEFT($H2,9)="restricti"</formula>
    </cfRule>
    <cfRule type="expression" priority="5" aboveAverage="0" equalAverage="0" bottom="0" percent="0" rank="0" text="" dxfId="5">
      <formula>LEFT($H2,10)="transverse"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33.75" hidden="false" customHeight="true" outlineLevel="0" collapsed="false">
      <c r="A1" s="11" t="s">
        <v>28</v>
      </c>
      <c r="B1" s="11" t="s">
        <v>113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</row>
    <row r="2" customFormat="false" ht="15" hidden="false" customHeight="false" outlineLevel="0" collapsed="false">
      <c r="A2" s="12" t="s">
        <v>56</v>
      </c>
      <c r="B2" s="12" t="s">
        <v>42</v>
      </c>
      <c r="C2" s="12" t="s">
        <v>119</v>
      </c>
      <c r="D2" s="12" t="s">
        <v>46</v>
      </c>
      <c r="E2" s="12" t="s">
        <v>47</v>
      </c>
      <c r="F2" s="12" t="s">
        <v>120</v>
      </c>
      <c r="G2" s="12" t="s">
        <v>120</v>
      </c>
    </row>
    <row r="3" customFormat="false" ht="15" hidden="false" customHeight="false" outlineLevel="0" collapsed="false">
      <c r="A3" s="12" t="s">
        <v>56</v>
      </c>
      <c r="B3" s="12" t="s">
        <v>55</v>
      </c>
      <c r="C3" s="12" t="s">
        <v>119</v>
      </c>
      <c r="D3" s="12" t="s">
        <v>58</v>
      </c>
      <c r="E3" s="12" t="s">
        <v>59</v>
      </c>
      <c r="F3" s="12" t="s">
        <v>120</v>
      </c>
      <c r="G3" s="12" t="s">
        <v>120</v>
      </c>
    </row>
    <row r="4" customFormat="false" ht="15" hidden="false" customHeight="false" outlineLevel="0" collapsed="false">
      <c r="A4" s="12" t="s">
        <v>55</v>
      </c>
      <c r="B4" s="12" t="s">
        <v>63</v>
      </c>
      <c r="C4" s="12" t="s">
        <v>121</v>
      </c>
      <c r="D4" s="12" t="s">
        <v>66</v>
      </c>
      <c r="E4" s="12" t="s">
        <v>67</v>
      </c>
      <c r="F4" s="12" t="s">
        <v>120</v>
      </c>
      <c r="G4" s="12" t="s">
        <v>120</v>
      </c>
    </row>
    <row r="5" customFormat="false" ht="15" hidden="false" customHeight="false" outlineLevel="0" collapsed="false">
      <c r="A5" s="12" t="s">
        <v>55</v>
      </c>
      <c r="B5" s="12" t="s">
        <v>70</v>
      </c>
      <c r="C5" s="12" t="s">
        <v>122</v>
      </c>
      <c r="D5" s="12" t="s">
        <v>72</v>
      </c>
      <c r="E5" s="12" t="s">
        <v>72</v>
      </c>
      <c r="F5" s="12" t="s">
        <v>120</v>
      </c>
      <c r="G5" s="12" t="s">
        <v>120</v>
      </c>
    </row>
    <row r="6" customFormat="false" ht="15" hidden="false" customHeight="false" outlineLevel="0" collapsed="false">
      <c r="A6" s="12" t="s">
        <v>55</v>
      </c>
      <c r="B6" s="12" t="s">
        <v>77</v>
      </c>
      <c r="C6" s="12" t="s">
        <v>123</v>
      </c>
      <c r="D6" s="12" t="s">
        <v>79</v>
      </c>
      <c r="E6" s="12" t="s">
        <v>80</v>
      </c>
      <c r="F6" s="12" t="s">
        <v>120</v>
      </c>
      <c r="G6" s="12" t="s">
        <v>120</v>
      </c>
    </row>
    <row r="7" customFormat="false" ht="15" hidden="false" customHeight="false" outlineLevel="0" collapsed="false">
      <c r="A7" s="12" t="s">
        <v>55</v>
      </c>
      <c r="B7" s="12" t="s">
        <v>83</v>
      </c>
      <c r="C7" s="12" t="s">
        <v>124</v>
      </c>
      <c r="D7" s="12" t="s">
        <v>85</v>
      </c>
      <c r="E7" s="12" t="s">
        <v>86</v>
      </c>
      <c r="F7" s="12" t="s">
        <v>120</v>
      </c>
      <c r="G7" s="12" t="s">
        <v>120</v>
      </c>
    </row>
    <row r="8" customFormat="false" ht="15" hidden="false" customHeight="false" outlineLevel="0" collapsed="false">
      <c r="A8" s="12" t="s">
        <v>55</v>
      </c>
      <c r="B8" s="12" t="s">
        <v>42</v>
      </c>
      <c r="C8" s="12" t="s">
        <v>125</v>
      </c>
      <c r="D8" s="12" t="s">
        <v>46</v>
      </c>
      <c r="E8" s="12" t="s">
        <v>47</v>
      </c>
      <c r="F8" s="12" t="s">
        <v>120</v>
      </c>
      <c r="G8" s="12" t="s">
        <v>120</v>
      </c>
    </row>
    <row r="9" customFormat="false" ht="15" hidden="false" customHeight="false" outlineLevel="0" collapsed="false">
      <c r="A9" s="12" t="s">
        <v>55</v>
      </c>
      <c r="B9" s="12" t="s">
        <v>88</v>
      </c>
      <c r="C9" s="12" t="s">
        <v>126</v>
      </c>
      <c r="D9" s="12" t="s">
        <v>90</v>
      </c>
      <c r="E9" s="12" t="s">
        <v>91</v>
      </c>
      <c r="F9" s="12" t="s">
        <v>120</v>
      </c>
      <c r="G9" s="12" t="s">
        <v>120</v>
      </c>
    </row>
    <row r="10" customFormat="false" ht="15" hidden="false" customHeight="false" outlineLevel="0" collapsed="false">
      <c r="A10" s="12" t="s">
        <v>55</v>
      </c>
      <c r="B10" s="12" t="s">
        <v>93</v>
      </c>
      <c r="C10" s="12" t="s">
        <v>127</v>
      </c>
      <c r="D10" s="12" t="s">
        <v>95</v>
      </c>
      <c r="E10" s="12" t="s">
        <v>96</v>
      </c>
      <c r="F10" s="12" t="s">
        <v>120</v>
      </c>
      <c r="G10" s="12" t="s">
        <v>120</v>
      </c>
    </row>
    <row r="11" customFormat="false" ht="15" hidden="false" customHeight="false" outlineLevel="0" collapsed="false">
      <c r="A11" s="12" t="s">
        <v>55</v>
      </c>
      <c r="B11" s="12" t="s">
        <v>99</v>
      </c>
      <c r="C11" s="12" t="s">
        <v>128</v>
      </c>
      <c r="D11" s="12" t="s">
        <v>101</v>
      </c>
      <c r="E11" s="12" t="s">
        <v>102</v>
      </c>
      <c r="F11" s="12" t="s">
        <v>120</v>
      </c>
      <c r="G11" s="12" t="s">
        <v>120</v>
      </c>
    </row>
    <row r="12" customFormat="false" ht="15" hidden="false" customHeight="false" outlineLevel="0" collapsed="false">
      <c r="A12" s="12" t="s">
        <v>55</v>
      </c>
      <c r="B12" s="12" t="s">
        <v>103</v>
      </c>
      <c r="C12" s="12" t="s">
        <v>129</v>
      </c>
      <c r="D12" s="12" t="s">
        <v>105</v>
      </c>
      <c r="E12" s="12" t="s">
        <v>105</v>
      </c>
      <c r="F12" s="12" t="s">
        <v>120</v>
      </c>
      <c r="G12" s="12" t="s">
        <v>120</v>
      </c>
    </row>
    <row r="13" customFormat="false" ht="15" hidden="false" customHeight="false" outlineLevel="0" collapsed="false">
      <c r="A13" s="12" t="s">
        <v>63</v>
      </c>
      <c r="B13" s="12" t="s">
        <v>42</v>
      </c>
      <c r="C13" s="12" t="s">
        <v>130</v>
      </c>
      <c r="D13" s="12" t="s">
        <v>46</v>
      </c>
      <c r="E13" s="12" t="s">
        <v>47</v>
      </c>
      <c r="F13" s="12" t="s">
        <v>120</v>
      </c>
      <c r="G13" s="12" t="s">
        <v>120</v>
      </c>
    </row>
    <row r="14" customFormat="false" ht="15" hidden="false" customHeight="false" outlineLevel="0" collapsed="false">
      <c r="A14" s="12" t="s">
        <v>103</v>
      </c>
      <c r="B14" s="12" t="s">
        <v>108</v>
      </c>
      <c r="C14" s="12" t="s">
        <v>131</v>
      </c>
      <c r="D14" s="12" t="s">
        <v>110</v>
      </c>
      <c r="E14" s="12" t="s">
        <v>110</v>
      </c>
      <c r="F14" s="12" t="s">
        <v>120</v>
      </c>
      <c r="G14" s="12" t="s">
        <v>120</v>
      </c>
    </row>
    <row r="15" customFormat="false" ht="15" hidden="false" customHeight="false" outlineLevel="0" collapsed="false">
      <c r="A15" s="12" t="s">
        <v>132</v>
      </c>
      <c r="B15" s="12" t="s">
        <v>99</v>
      </c>
      <c r="C15" s="12" t="s">
        <v>133</v>
      </c>
      <c r="D15" s="12" t="s">
        <v>101</v>
      </c>
      <c r="E15" s="12" t="s">
        <v>102</v>
      </c>
      <c r="F15" s="12" t="s">
        <v>134</v>
      </c>
      <c r="G15" s="12" t="s">
        <v>120</v>
      </c>
    </row>
    <row r="16" customFormat="false" ht="15" hidden="false" customHeight="false" outlineLevel="0" collapsed="false">
      <c r="A16" s="12" t="s">
        <v>135</v>
      </c>
      <c r="B16" s="12" t="s">
        <v>42</v>
      </c>
      <c r="C16" s="12" t="s">
        <v>125</v>
      </c>
      <c r="D16" s="12" t="s">
        <v>46</v>
      </c>
      <c r="E16" s="12" t="s">
        <v>47</v>
      </c>
      <c r="F16" s="12" t="s">
        <v>134</v>
      </c>
      <c r="G16" s="12" t="s">
        <v>120</v>
      </c>
    </row>
    <row r="18" customFormat="false" ht="15" hidden="false" customHeight="false" outlineLevel="0" collapsed="false">
      <c r="A18" s="4" t="s">
        <v>136</v>
      </c>
    </row>
    <row r="19" customFormat="false" ht="15" hidden="false" customHeight="false" outlineLevel="0" collapsed="false">
      <c r="A19" s="4" t="s">
        <v>137</v>
      </c>
    </row>
    <row r="20" customFormat="false" ht="15" hidden="false" customHeight="false" outlineLevel="0" collapsed="false">
      <c r="A20" s="4" t="s">
        <v>138</v>
      </c>
    </row>
  </sheetData>
  <autoFilter ref="A1:G16"/>
  <conditionalFormatting sqref="F2:G16">
    <cfRule type="expression" priority="2" aboveAverage="0" equalAverage="0" bottom="0" percent="0" rank="0" text="" dxfId="5">
      <formula>$F2="oui"</formula>
    </cfRule>
    <cfRule type="expression" priority="3" aboveAverage="0" equalAverage="0" bottom="0" percent="0" rank="0" text="" dxfId="7">
      <formula>$F2="non"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60"/>
  </cols>
  <sheetData>
    <row r="1" customFormat="false" ht="33.75" hidden="false" customHeight="true" outlineLevel="0" collapsed="false">
      <c r="A1" s="11" t="s">
        <v>28</v>
      </c>
      <c r="B1" s="11" t="s">
        <v>139</v>
      </c>
      <c r="C1" s="11" t="s">
        <v>140</v>
      </c>
      <c r="D1" s="11" t="s">
        <v>141</v>
      </c>
      <c r="E1" s="11" t="s">
        <v>142</v>
      </c>
      <c r="F1" s="11" t="s">
        <v>143</v>
      </c>
    </row>
    <row r="2" customFormat="false" ht="22.35" hidden="false" customHeight="false" outlineLevel="0" collapsed="false">
      <c r="A2" s="12" t="s">
        <v>42</v>
      </c>
      <c r="B2" s="12" t="s">
        <v>120</v>
      </c>
      <c r="C2" s="12" t="s">
        <v>120</v>
      </c>
      <c r="D2" s="12" t="s">
        <v>120</v>
      </c>
      <c r="E2" s="12" t="s">
        <v>144</v>
      </c>
      <c r="F2" s="12" t="s">
        <v>145</v>
      </c>
    </row>
    <row r="3" customFormat="false" ht="22.35" hidden="false" customHeight="false" outlineLevel="0" collapsed="false">
      <c r="A3" s="12" t="s">
        <v>55</v>
      </c>
      <c r="B3" s="12" t="s">
        <v>120</v>
      </c>
      <c r="C3" s="12" t="s">
        <v>120</v>
      </c>
      <c r="D3" s="12" t="s">
        <v>120</v>
      </c>
      <c r="E3" s="12" t="s">
        <v>146</v>
      </c>
      <c r="F3" s="12" t="s">
        <v>145</v>
      </c>
    </row>
    <row r="4" customFormat="false" ht="22.35" hidden="false" customHeight="false" outlineLevel="0" collapsed="false">
      <c r="A4" s="12" t="s">
        <v>63</v>
      </c>
      <c r="B4" s="12" t="s">
        <v>120</v>
      </c>
      <c r="C4" s="12" t="s">
        <v>120</v>
      </c>
      <c r="D4" s="12" t="s">
        <v>120</v>
      </c>
      <c r="E4" s="12" t="s">
        <v>144</v>
      </c>
      <c r="F4" s="12" t="s">
        <v>145</v>
      </c>
    </row>
    <row r="5" customFormat="false" ht="15" hidden="false" customHeight="false" outlineLevel="0" collapsed="false">
      <c r="A5" s="12" t="s">
        <v>70</v>
      </c>
      <c r="B5" s="12" t="s">
        <v>147</v>
      </c>
      <c r="C5" s="12" t="s">
        <v>147</v>
      </c>
      <c r="D5" s="12" t="s">
        <v>147</v>
      </c>
      <c r="E5" s="12" t="s">
        <v>148</v>
      </c>
      <c r="F5" s="12" t="s">
        <v>149</v>
      </c>
    </row>
    <row r="6" customFormat="false" ht="22.35" hidden="false" customHeight="false" outlineLevel="0" collapsed="false">
      <c r="A6" s="12" t="s">
        <v>77</v>
      </c>
      <c r="B6" s="12" t="s">
        <v>120</v>
      </c>
      <c r="C6" s="12" t="s">
        <v>120</v>
      </c>
      <c r="D6" s="12" t="s">
        <v>120</v>
      </c>
      <c r="E6" s="12" t="s">
        <v>146</v>
      </c>
      <c r="F6" s="12" t="s">
        <v>145</v>
      </c>
    </row>
    <row r="7" customFormat="false" ht="22.35" hidden="false" customHeight="false" outlineLevel="0" collapsed="false">
      <c r="A7" s="12" t="s">
        <v>83</v>
      </c>
      <c r="B7" s="12" t="s">
        <v>120</v>
      </c>
      <c r="C7" s="12" t="s">
        <v>120</v>
      </c>
      <c r="D7" s="12" t="s">
        <v>120</v>
      </c>
      <c r="E7" s="12" t="s">
        <v>146</v>
      </c>
      <c r="F7" s="12" t="s">
        <v>145</v>
      </c>
    </row>
    <row r="8" customFormat="false" ht="15" hidden="false" customHeight="false" outlineLevel="0" collapsed="false">
      <c r="A8" s="12" t="s">
        <v>88</v>
      </c>
      <c r="B8" s="12" t="s">
        <v>147</v>
      </c>
      <c r="C8" s="12" t="s">
        <v>147</v>
      </c>
      <c r="D8" s="12" t="s">
        <v>147</v>
      </c>
      <c r="E8" s="12" t="s">
        <v>148</v>
      </c>
      <c r="F8" s="12" t="s">
        <v>149</v>
      </c>
    </row>
    <row r="9" customFormat="false" ht="22.35" hidden="false" customHeight="false" outlineLevel="0" collapsed="false">
      <c r="A9" s="12" t="s">
        <v>93</v>
      </c>
      <c r="B9" s="12" t="s">
        <v>120</v>
      </c>
      <c r="C9" s="12" t="s">
        <v>120</v>
      </c>
      <c r="D9" s="12" t="s">
        <v>120</v>
      </c>
      <c r="E9" s="12" t="s">
        <v>146</v>
      </c>
      <c r="F9" s="12" t="s">
        <v>145</v>
      </c>
    </row>
    <row r="10" customFormat="false" ht="15" hidden="false" customHeight="false" outlineLevel="0" collapsed="false">
      <c r="A10" s="12" t="s">
        <v>99</v>
      </c>
      <c r="B10" s="12" t="s">
        <v>147</v>
      </c>
      <c r="C10" s="12" t="s">
        <v>147</v>
      </c>
      <c r="D10" s="12" t="s">
        <v>147</v>
      </c>
      <c r="E10" s="12" t="s">
        <v>150</v>
      </c>
      <c r="F10" s="12" t="s">
        <v>149</v>
      </c>
    </row>
    <row r="11" customFormat="false" ht="22.35" hidden="false" customHeight="false" outlineLevel="0" collapsed="false">
      <c r="A11" s="12" t="s">
        <v>103</v>
      </c>
      <c r="B11" s="12" t="s">
        <v>147</v>
      </c>
      <c r="C11" s="12" t="s">
        <v>147</v>
      </c>
      <c r="D11" s="12" t="s">
        <v>147</v>
      </c>
      <c r="E11" s="12" t="s">
        <v>151</v>
      </c>
      <c r="F11" s="12" t="s">
        <v>149</v>
      </c>
    </row>
    <row r="12" customFormat="false" ht="22.35" hidden="false" customHeight="false" outlineLevel="0" collapsed="false">
      <c r="A12" s="12" t="s">
        <v>108</v>
      </c>
      <c r="B12" s="12" t="s">
        <v>147</v>
      </c>
      <c r="C12" s="12" t="s">
        <v>147</v>
      </c>
      <c r="D12" s="12" t="s">
        <v>147</v>
      </c>
      <c r="E12" s="12" t="s">
        <v>152</v>
      </c>
      <c r="F12" s="12" t="s">
        <v>149</v>
      </c>
    </row>
    <row r="13" customFormat="false" ht="22.35" hidden="false" customHeight="false" outlineLevel="0" collapsed="false">
      <c r="A13" s="12" t="s">
        <v>153</v>
      </c>
      <c r="B13" s="12" t="s">
        <v>120</v>
      </c>
      <c r="C13" s="12" t="s">
        <v>120</v>
      </c>
      <c r="D13" s="12" t="s">
        <v>120</v>
      </c>
      <c r="E13" s="12" t="s">
        <v>154</v>
      </c>
      <c r="F13" s="12" t="s">
        <v>155</v>
      </c>
    </row>
    <row r="14" customFormat="false" ht="32.8" hidden="false" customHeight="false" outlineLevel="0" collapsed="false">
      <c r="A14" s="12" t="s">
        <v>156</v>
      </c>
      <c r="B14" s="12" t="s">
        <v>157</v>
      </c>
      <c r="C14" s="12" t="s">
        <v>158</v>
      </c>
      <c r="D14" s="12" t="s">
        <v>147</v>
      </c>
      <c r="E14" s="12" t="s">
        <v>159</v>
      </c>
      <c r="F14" s="12" t="s">
        <v>160</v>
      </c>
    </row>
    <row r="16" customFormat="false" ht="15" hidden="false" customHeight="false" outlineLevel="0" collapsed="false">
      <c r="A16" s="2" t="s">
        <v>161</v>
      </c>
    </row>
    <row r="17" customFormat="false" ht="15" hidden="false" customHeight="false" outlineLevel="0" collapsed="false">
      <c r="A17" s="4" t="s">
        <v>162</v>
      </c>
    </row>
  </sheetData>
  <autoFilter ref="A1:F14"/>
  <conditionalFormatting sqref="B2:B14">
    <cfRule type="expression" priority="2" aboveAverage="0" equalAverage="0" bottom="0" percent="0" rank="0" text="" dxfId="6">
      <formula>LEFT($B2,3)="oui"</formula>
    </cfRule>
    <cfRule type="expression" priority="3" aboveAverage="0" equalAverage="0" bottom="0" percent="0" rank="0" text="" dxfId="5">
      <formula>$B2="non"</formula>
    </cfRule>
  </conditionalFormatting>
  <conditionalFormatting sqref="C2:C14">
    <cfRule type="expression" priority="4" aboveAverage="0" equalAverage="0" bottom="0" percent="0" rank="0" text="" dxfId="6">
      <formula>LEFT($C2,3)="oui"</formula>
    </cfRule>
    <cfRule type="expression" priority="5" aboveAverage="0" equalAverage="0" bottom="0" percent="0" rank="0" text="" dxfId="5">
      <formula>$C2="non"</formula>
    </cfRule>
  </conditionalFormatting>
  <conditionalFormatting sqref="D2:D14">
    <cfRule type="expression" priority="6" aboveAverage="0" equalAverage="0" bottom="0" percent="0" rank="0" text="" dxfId="6">
      <formula>LEFT($D2,3)="oui"</formula>
    </cfRule>
    <cfRule type="expression" priority="7" aboveAverage="0" equalAverage="0" bottom="0" percent="0" rank="0" text="" dxfId="5">
      <formula>$D2="non"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0"/>
  </cols>
  <sheetData>
    <row r="1" customFormat="false" ht="33.75" hidden="false" customHeight="true" outlineLevel="0" collapsed="false">
      <c r="A1" s="11" t="s">
        <v>163</v>
      </c>
      <c r="B1" s="11" t="s">
        <v>164</v>
      </c>
    </row>
    <row r="2" customFormat="false" ht="15" hidden="false" customHeight="false" outlineLevel="0" collapsed="false">
      <c r="A2" s="12" t="s">
        <v>165</v>
      </c>
      <c r="B2" s="12" t="s">
        <v>166</v>
      </c>
    </row>
    <row r="3" customFormat="false" ht="15" hidden="false" customHeight="false" outlineLevel="0" collapsed="false">
      <c r="A3" s="12" t="s">
        <v>167</v>
      </c>
      <c r="B3" s="12" t="s">
        <v>168</v>
      </c>
    </row>
    <row r="4" customFormat="false" ht="15" hidden="false" customHeight="false" outlineLevel="0" collapsed="false">
      <c r="A4" s="12" t="s">
        <v>169</v>
      </c>
      <c r="B4" s="12" t="s">
        <v>170</v>
      </c>
    </row>
    <row r="5" customFormat="false" ht="22.35" hidden="false" customHeight="false" outlineLevel="0" collapsed="false">
      <c r="A5" s="12" t="s">
        <v>171</v>
      </c>
      <c r="B5" s="12" t="s">
        <v>172</v>
      </c>
    </row>
    <row r="6" customFormat="false" ht="22.35" hidden="false" customHeight="false" outlineLevel="0" collapsed="false">
      <c r="A6" s="12" t="s">
        <v>173</v>
      </c>
      <c r="B6" s="12" t="s">
        <v>174</v>
      </c>
    </row>
    <row r="7" customFormat="false" ht="22.35" hidden="false" customHeight="false" outlineLevel="0" collapsed="false">
      <c r="A7" s="12" t="s">
        <v>175</v>
      </c>
      <c r="B7" s="12" t="s">
        <v>176</v>
      </c>
    </row>
    <row r="8" customFormat="false" ht="22.35" hidden="false" customHeight="false" outlineLevel="0" collapsed="false">
      <c r="A8" s="12" t="s">
        <v>177</v>
      </c>
      <c r="B8" s="12" t="s">
        <v>178</v>
      </c>
    </row>
    <row r="9" customFormat="false" ht="15" hidden="false" customHeight="false" outlineLevel="0" collapsed="false">
      <c r="A9" s="12" t="s">
        <v>179</v>
      </c>
      <c r="B9" s="12" t="s">
        <v>180</v>
      </c>
    </row>
    <row r="10" customFormat="false" ht="22.35" hidden="false" customHeight="false" outlineLevel="0" collapsed="false">
      <c r="A10" s="12" t="s">
        <v>181</v>
      </c>
      <c r="B10" s="12" t="s">
        <v>182</v>
      </c>
    </row>
    <row r="11" customFormat="false" ht="15" hidden="false" customHeight="false" outlineLevel="0" collapsed="false">
      <c r="A11" s="12" t="s">
        <v>183</v>
      </c>
      <c r="B11" s="12" t="s">
        <v>184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36"/>
    <col collapsed="false" customWidth="true" hidden="false" outlineLevel="0" max="4" min="4" style="0" width="30"/>
  </cols>
  <sheetData>
    <row r="1" customFormat="false" ht="33.7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</row>
    <row r="2" customFormat="false" ht="22.35" hidden="false" customHeight="false" outlineLevel="0" collapsed="false">
      <c r="A2" s="12" t="s">
        <v>189</v>
      </c>
      <c r="B2" s="12" t="s">
        <v>190</v>
      </c>
      <c r="C2" s="12" t="s">
        <v>191</v>
      </c>
      <c r="D2" s="12" t="s">
        <v>192</v>
      </c>
    </row>
    <row r="3" customFormat="false" ht="15" hidden="false" customHeight="false" outlineLevel="0" collapsed="false">
      <c r="A3" s="12" t="s">
        <v>193</v>
      </c>
      <c r="B3" s="12" t="s">
        <v>194</v>
      </c>
      <c r="C3" s="12" t="s">
        <v>147</v>
      </c>
      <c r="D3" s="12" t="s">
        <v>192</v>
      </c>
    </row>
    <row r="4" customFormat="false" ht="15" hidden="false" customHeight="false" outlineLevel="0" collapsed="false">
      <c r="A4" s="12" t="s">
        <v>195</v>
      </c>
      <c r="B4" s="12" t="s">
        <v>196</v>
      </c>
      <c r="C4" s="12" t="s">
        <v>147</v>
      </c>
      <c r="D4" s="12" t="s">
        <v>192</v>
      </c>
    </row>
    <row r="5" customFormat="false" ht="22.35" hidden="false" customHeight="false" outlineLevel="0" collapsed="false">
      <c r="A5" s="12" t="s">
        <v>197</v>
      </c>
      <c r="B5" s="12" t="s">
        <v>198</v>
      </c>
      <c r="C5" s="12" t="s">
        <v>147</v>
      </c>
      <c r="D5" s="12" t="s">
        <v>192</v>
      </c>
    </row>
    <row r="6" customFormat="false" ht="15" hidden="false" customHeight="false" outlineLevel="0" collapsed="false">
      <c r="A6" s="12" t="s">
        <v>199</v>
      </c>
      <c r="B6" s="12" t="s">
        <v>200</v>
      </c>
      <c r="C6" s="12" t="s">
        <v>147</v>
      </c>
      <c r="D6" s="12" t="s">
        <v>192</v>
      </c>
    </row>
    <row r="7" customFormat="false" ht="15" hidden="false" customHeight="false" outlineLevel="0" collapsed="false">
      <c r="A7" s="12" t="s">
        <v>201</v>
      </c>
      <c r="B7" s="12" t="s">
        <v>202</v>
      </c>
      <c r="C7" s="12" t="s">
        <v>147</v>
      </c>
      <c r="D7" s="12" t="s">
        <v>192</v>
      </c>
    </row>
    <row r="8" customFormat="false" ht="15" hidden="false" customHeight="false" outlineLevel="0" collapsed="false">
      <c r="A8" s="12" t="s">
        <v>203</v>
      </c>
      <c r="B8" s="12" t="s">
        <v>204</v>
      </c>
      <c r="C8" s="12" t="s">
        <v>147</v>
      </c>
      <c r="D8" s="12" t="s">
        <v>192</v>
      </c>
    </row>
    <row r="9" customFormat="false" ht="15" hidden="false" customHeight="false" outlineLevel="0" collapsed="false">
      <c r="A9" s="12" t="s">
        <v>205</v>
      </c>
      <c r="B9" s="12" t="s">
        <v>206</v>
      </c>
      <c r="C9" s="12" t="s">
        <v>147</v>
      </c>
      <c r="D9" s="12" t="s">
        <v>192</v>
      </c>
    </row>
    <row r="10" customFormat="false" ht="15" hidden="false" customHeight="false" outlineLevel="0" collapsed="false">
      <c r="A10" s="12" t="s">
        <v>207</v>
      </c>
      <c r="B10" s="12" t="s">
        <v>208</v>
      </c>
      <c r="C10" s="12" t="s">
        <v>147</v>
      </c>
      <c r="D10" s="12" t="s">
        <v>192</v>
      </c>
    </row>
    <row r="11" customFormat="false" ht="15" hidden="false" customHeight="false" outlineLevel="0" collapsed="false">
      <c r="A11" s="12" t="s">
        <v>209</v>
      </c>
      <c r="B11" s="12" t="s">
        <v>210</v>
      </c>
      <c r="C11" s="12" t="s">
        <v>147</v>
      </c>
      <c r="D11" s="12" t="s">
        <v>192</v>
      </c>
    </row>
    <row r="12" customFormat="false" ht="15" hidden="false" customHeight="false" outlineLevel="0" collapsed="false">
      <c r="A12" s="12" t="s">
        <v>211</v>
      </c>
      <c r="B12" s="12" t="s">
        <v>212</v>
      </c>
      <c r="C12" s="12" t="s">
        <v>147</v>
      </c>
      <c r="D12" s="12" t="s">
        <v>192</v>
      </c>
    </row>
    <row r="13" customFormat="false" ht="15" hidden="false" customHeight="false" outlineLevel="0" collapsed="false">
      <c r="A13" s="12" t="s">
        <v>213</v>
      </c>
      <c r="B13" s="12" t="s">
        <v>214</v>
      </c>
      <c r="C13" s="12" t="s">
        <v>147</v>
      </c>
      <c r="D13" s="12" t="s">
        <v>192</v>
      </c>
    </row>
    <row r="14" customFormat="false" ht="15" hidden="false" customHeight="false" outlineLevel="0" collapsed="false">
      <c r="A14" s="12" t="s">
        <v>215</v>
      </c>
      <c r="B14" s="12" t="s">
        <v>216</v>
      </c>
      <c r="C14" s="12" t="s">
        <v>147</v>
      </c>
      <c r="D14" s="12" t="s">
        <v>192</v>
      </c>
    </row>
    <row r="15" customFormat="false" ht="15" hidden="false" customHeight="false" outlineLevel="0" collapsed="false">
      <c r="A15" s="12" t="s">
        <v>217</v>
      </c>
      <c r="B15" s="12" t="s">
        <v>218</v>
      </c>
      <c r="C15" s="12" t="s">
        <v>147</v>
      </c>
      <c r="D15" s="12" t="s">
        <v>192</v>
      </c>
    </row>
    <row r="16" customFormat="false" ht="15" hidden="false" customHeight="false" outlineLevel="0" collapsed="false">
      <c r="A16" s="12" t="s">
        <v>219</v>
      </c>
      <c r="B16" s="12" t="s">
        <v>220</v>
      </c>
      <c r="C16" s="12" t="s">
        <v>147</v>
      </c>
      <c r="D16" s="12" t="s">
        <v>192</v>
      </c>
    </row>
    <row r="17" customFormat="false" ht="15" hidden="false" customHeight="false" outlineLevel="0" collapsed="false">
      <c r="A17" s="12" t="s">
        <v>221</v>
      </c>
      <c r="B17" s="12" t="s">
        <v>222</v>
      </c>
      <c r="C17" s="12" t="s">
        <v>147</v>
      </c>
      <c r="D17" s="12" t="s">
        <v>192</v>
      </c>
    </row>
    <row r="18" customFormat="false" ht="22.35" hidden="false" customHeight="false" outlineLevel="0" collapsed="false">
      <c r="A18" s="12" t="s">
        <v>223</v>
      </c>
      <c r="B18" s="12" t="s">
        <v>224</v>
      </c>
      <c r="C18" s="12" t="s">
        <v>225</v>
      </c>
      <c r="D18" s="12" t="s">
        <v>192</v>
      </c>
    </row>
    <row r="19" customFormat="false" ht="22.35" hidden="false" customHeight="false" outlineLevel="0" collapsed="false">
      <c r="A19" s="12" t="s">
        <v>226</v>
      </c>
      <c r="B19" s="12" t="s">
        <v>227</v>
      </c>
      <c r="C19" s="12" t="s">
        <v>228</v>
      </c>
      <c r="D19" s="12" t="s">
        <v>192</v>
      </c>
    </row>
  </sheetData>
  <autoFilter ref="A1:D19"/>
  <conditionalFormatting sqref="C2:C19">
    <cfRule type="expression" priority="2" aboveAverage="0" equalAverage="0" bottom="0" percent="0" rank="0" text="" dxfId="5">
      <formula>$C2="non"</formula>
    </cfRule>
    <cfRule type="expression" priority="3" aboveAverage="0" equalAverage="0" bottom="0" percent="0" rank="0" text="" dxfId="9">
      <formula>$C2&lt;&gt;"non"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33.75" hidden="false" customHeight="true" outlineLevel="0" collapsed="false">
      <c r="A1" s="11" t="s">
        <v>229</v>
      </c>
      <c r="B1" s="11" t="s">
        <v>230</v>
      </c>
      <c r="C1" s="11" t="s">
        <v>231</v>
      </c>
      <c r="D1" s="11" t="s">
        <v>232</v>
      </c>
      <c r="E1" s="11" t="s">
        <v>42</v>
      </c>
      <c r="F1" s="11" t="s">
        <v>55</v>
      </c>
      <c r="G1" s="11" t="s">
        <v>233</v>
      </c>
      <c r="H1" s="11" t="s">
        <v>234</v>
      </c>
      <c r="I1" s="11" t="s">
        <v>235</v>
      </c>
      <c r="J1" s="11" t="s">
        <v>236</v>
      </c>
    </row>
    <row r="2" customFormat="false" ht="22.35" hidden="false" customHeight="false" outlineLevel="0" collapsed="false">
      <c r="A2" s="12" t="s">
        <v>237</v>
      </c>
      <c r="B2" s="12" t="s">
        <v>238</v>
      </c>
      <c r="C2" s="12" t="s">
        <v>239</v>
      </c>
      <c r="D2" s="12" t="s">
        <v>240</v>
      </c>
      <c r="E2" s="12" t="s">
        <v>47</v>
      </c>
      <c r="F2" s="12" t="s">
        <v>59</v>
      </c>
      <c r="G2" s="12" t="s">
        <v>241</v>
      </c>
      <c r="H2" s="12" t="s">
        <v>242</v>
      </c>
      <c r="I2" s="12" t="s">
        <v>243</v>
      </c>
      <c r="J2" s="12" t="s">
        <v>244</v>
      </c>
    </row>
    <row r="3" customFormat="false" ht="22.35" hidden="false" customHeight="false" outlineLevel="0" collapsed="false">
      <c r="A3" s="12" t="s">
        <v>245</v>
      </c>
      <c r="B3" s="12" t="s">
        <v>246</v>
      </c>
      <c r="C3" s="12" t="s">
        <v>247</v>
      </c>
      <c r="D3" s="12" t="s">
        <v>248</v>
      </c>
      <c r="E3" s="12" t="s">
        <v>47</v>
      </c>
      <c r="F3" s="12" t="s">
        <v>59</v>
      </c>
      <c r="G3" s="12" t="s">
        <v>249</v>
      </c>
      <c r="H3" s="12" t="s">
        <v>250</v>
      </c>
      <c r="I3" s="12" t="s">
        <v>243</v>
      </c>
      <c r="J3" s="12" t="s">
        <v>251</v>
      </c>
    </row>
    <row r="4" customFormat="false" ht="22.35" hidden="false" customHeight="false" outlineLevel="0" collapsed="false">
      <c r="A4" s="12" t="s">
        <v>252</v>
      </c>
      <c r="B4" s="12" t="s">
        <v>246</v>
      </c>
      <c r="C4" s="12" t="s">
        <v>253</v>
      </c>
      <c r="D4" s="12" t="s">
        <v>254</v>
      </c>
      <c r="E4" s="12" t="s">
        <v>47</v>
      </c>
      <c r="F4" s="12" t="s">
        <v>59</v>
      </c>
      <c r="G4" s="12" t="s">
        <v>249</v>
      </c>
      <c r="H4" s="12" t="s">
        <v>255</v>
      </c>
      <c r="I4" s="12" t="s">
        <v>243</v>
      </c>
      <c r="J4" s="12" t="s">
        <v>256</v>
      </c>
    </row>
    <row r="5" customFormat="false" ht="15" hidden="false" customHeight="false" outlineLevel="0" collapsed="false">
      <c r="A5" s="12" t="s">
        <v>257</v>
      </c>
      <c r="B5" s="12" t="s">
        <v>246</v>
      </c>
      <c r="C5" s="12" t="s">
        <v>253</v>
      </c>
      <c r="D5" s="12" t="s">
        <v>254</v>
      </c>
      <c r="E5" s="12" t="s">
        <v>46</v>
      </c>
      <c r="F5" s="12" t="s">
        <v>58</v>
      </c>
      <c r="G5" s="12" t="s">
        <v>249</v>
      </c>
      <c r="H5" s="12" t="s">
        <v>250</v>
      </c>
      <c r="I5" s="12" t="s">
        <v>243</v>
      </c>
      <c r="J5" s="12" t="s">
        <v>258</v>
      </c>
    </row>
    <row r="6" customFormat="false" ht="15" hidden="false" customHeight="false" outlineLevel="0" collapsed="false">
      <c r="A6" s="12" t="s">
        <v>259</v>
      </c>
      <c r="B6" s="12" t="s">
        <v>246</v>
      </c>
      <c r="C6" s="12" t="s">
        <v>247</v>
      </c>
      <c r="D6" s="12" t="s">
        <v>248</v>
      </c>
      <c r="E6" s="12" t="s">
        <v>46</v>
      </c>
      <c r="F6" s="12" t="s">
        <v>58</v>
      </c>
      <c r="G6" s="12" t="s">
        <v>249</v>
      </c>
      <c r="H6" s="12" t="s">
        <v>250</v>
      </c>
      <c r="I6" s="12" t="s">
        <v>243</v>
      </c>
      <c r="J6" s="12" t="s">
        <v>260</v>
      </c>
    </row>
    <row r="7" customFormat="false" ht="15" hidden="false" customHeight="false" outlineLevel="0" collapsed="false">
      <c r="A7" s="12" t="s">
        <v>261</v>
      </c>
      <c r="B7" s="12" t="s">
        <v>246</v>
      </c>
      <c r="C7" s="12" t="s">
        <v>262</v>
      </c>
      <c r="D7" s="12" t="s">
        <v>254</v>
      </c>
      <c r="E7" s="12" t="s">
        <v>263</v>
      </c>
      <c r="F7" s="12" t="s">
        <v>264</v>
      </c>
      <c r="G7" s="12" t="s">
        <v>249</v>
      </c>
      <c r="H7" s="12" t="s">
        <v>265</v>
      </c>
      <c r="I7" s="12" t="s">
        <v>243</v>
      </c>
      <c r="J7" s="12" t="s">
        <v>266</v>
      </c>
    </row>
    <row r="8" customFormat="false" ht="15" hidden="false" customHeight="false" outlineLevel="0" collapsed="false">
      <c r="A8" s="12" t="s">
        <v>261</v>
      </c>
      <c r="B8" s="12" t="s">
        <v>246</v>
      </c>
      <c r="C8" s="12" t="s">
        <v>262</v>
      </c>
      <c r="D8" s="12" t="s">
        <v>254</v>
      </c>
      <c r="E8" s="12" t="s">
        <v>263</v>
      </c>
      <c r="F8" s="12" t="s">
        <v>264</v>
      </c>
      <c r="G8" s="12" t="s">
        <v>267</v>
      </c>
      <c r="H8" s="12" t="s">
        <v>268</v>
      </c>
      <c r="I8" s="12" t="s">
        <v>269</v>
      </c>
      <c r="J8" s="12" t="s">
        <v>266</v>
      </c>
    </row>
    <row r="9" customFormat="false" ht="15" hidden="false" customHeight="false" outlineLevel="0" collapsed="false">
      <c r="A9" s="12" t="s">
        <v>257</v>
      </c>
      <c r="B9" s="12" t="s">
        <v>246</v>
      </c>
      <c r="C9" s="12" t="s">
        <v>253</v>
      </c>
      <c r="D9" s="12" t="s">
        <v>254</v>
      </c>
      <c r="E9" s="12" t="s">
        <v>46</v>
      </c>
      <c r="F9" s="12" t="s">
        <v>58</v>
      </c>
      <c r="G9" s="12" t="s">
        <v>267</v>
      </c>
      <c r="H9" s="12" t="s">
        <v>250</v>
      </c>
      <c r="I9" s="12" t="s">
        <v>269</v>
      </c>
      <c r="J9" s="12" t="s">
        <v>258</v>
      </c>
    </row>
    <row r="10" customFormat="false" ht="15" hidden="false" customHeight="false" outlineLevel="0" collapsed="false">
      <c r="A10" s="12" t="s">
        <v>270</v>
      </c>
      <c r="B10" s="12" t="s">
        <v>246</v>
      </c>
      <c r="C10" s="12" t="s">
        <v>253</v>
      </c>
      <c r="D10" s="12" t="s">
        <v>254</v>
      </c>
      <c r="E10" s="12" t="s">
        <v>271</v>
      </c>
      <c r="F10" s="12" t="s">
        <v>272</v>
      </c>
      <c r="G10" s="12" t="s">
        <v>267</v>
      </c>
      <c r="H10" s="12" t="s">
        <v>268</v>
      </c>
      <c r="I10" s="12" t="s">
        <v>269</v>
      </c>
      <c r="J10" s="12" t="s">
        <v>266</v>
      </c>
    </row>
    <row r="11" customFormat="false" ht="15" hidden="false" customHeight="false" outlineLevel="0" collapsed="false">
      <c r="A11" s="12" t="s">
        <v>259</v>
      </c>
      <c r="B11" s="12" t="s">
        <v>246</v>
      </c>
      <c r="C11" s="12" t="s">
        <v>247</v>
      </c>
      <c r="D11" s="12" t="s">
        <v>248</v>
      </c>
      <c r="E11" s="12" t="s">
        <v>46</v>
      </c>
      <c r="F11" s="12" t="s">
        <v>58</v>
      </c>
      <c r="G11" s="12" t="s">
        <v>267</v>
      </c>
      <c r="H11" s="12" t="s">
        <v>250</v>
      </c>
      <c r="I11" s="12" t="s">
        <v>269</v>
      </c>
      <c r="J11" s="12" t="s">
        <v>260</v>
      </c>
    </row>
    <row r="12" customFormat="false" ht="15" hidden="false" customHeight="false" outlineLevel="0" collapsed="false">
      <c r="A12" s="12" t="s">
        <v>273</v>
      </c>
      <c r="B12" s="12" t="s">
        <v>246</v>
      </c>
      <c r="C12" s="12" t="s">
        <v>247</v>
      </c>
      <c r="D12" s="12" t="s">
        <v>248</v>
      </c>
      <c r="E12" s="12" t="s">
        <v>271</v>
      </c>
      <c r="F12" s="12" t="s">
        <v>274</v>
      </c>
      <c r="G12" s="12" t="s">
        <v>267</v>
      </c>
      <c r="H12" s="12" t="s">
        <v>250</v>
      </c>
      <c r="I12" s="12" t="s">
        <v>269</v>
      </c>
      <c r="J12" s="12" t="s">
        <v>275</v>
      </c>
    </row>
    <row r="13" customFormat="false" ht="15" hidden="false" customHeight="false" outlineLevel="0" collapsed="false">
      <c r="A13" s="12" t="s">
        <v>276</v>
      </c>
      <c r="B13" s="12" t="s">
        <v>246</v>
      </c>
      <c r="C13" s="12" t="s">
        <v>277</v>
      </c>
      <c r="D13" s="12" t="s">
        <v>254</v>
      </c>
      <c r="E13" s="12" t="s">
        <v>46</v>
      </c>
      <c r="F13" s="12" t="s">
        <v>58</v>
      </c>
      <c r="G13" s="12" t="s">
        <v>267</v>
      </c>
      <c r="H13" s="12" t="s">
        <v>250</v>
      </c>
      <c r="I13" s="12" t="s">
        <v>269</v>
      </c>
      <c r="J13" s="12"/>
    </row>
    <row r="14" customFormat="false" ht="15" hidden="false" customHeight="false" outlineLevel="0" collapsed="false">
      <c r="A14" s="12" t="s">
        <v>278</v>
      </c>
      <c r="B14" s="12" t="s">
        <v>246</v>
      </c>
      <c r="C14" s="12" t="s">
        <v>279</v>
      </c>
      <c r="D14" s="12" t="s">
        <v>254</v>
      </c>
      <c r="E14" s="12" t="s">
        <v>280</v>
      </c>
      <c r="F14" s="12" t="s">
        <v>281</v>
      </c>
      <c r="G14" s="12" t="s">
        <v>267</v>
      </c>
      <c r="H14" s="12" t="s">
        <v>250</v>
      </c>
      <c r="I14" s="12" t="s">
        <v>269</v>
      </c>
      <c r="J14" s="12" t="s">
        <v>282</v>
      </c>
    </row>
    <row r="16" customFormat="false" ht="15" hidden="false" customHeight="false" outlineLevel="0" collapsed="false">
      <c r="A16" s="4" t="s">
        <v>283</v>
      </c>
    </row>
    <row r="17" customFormat="false" ht="15" hidden="false" customHeight="false" outlineLevel="0" collapsed="false">
      <c r="A17" s="4" t="s">
        <v>284</v>
      </c>
    </row>
  </sheetData>
  <autoFilter ref="A1:J14"/>
  <conditionalFormatting sqref="H2:H14">
    <cfRule type="expression" priority="2" aboveAverage="0" equalAverage="0" bottom="0" percent="0" rank="0" text="" dxfId="5">
      <formula>LEFT($H2,2)="OK"</formula>
    </cfRule>
    <cfRule type="expression" priority="3" aboveAverage="0" equalAverage="0" bottom="0" percent="0" rank="0" text="" dxfId="7">
      <formula>LEFT($H2,5)="ÉCHEC"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70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1" t="s">
        <v>285</v>
      </c>
      <c r="B1" s="11" t="s">
        <v>42</v>
      </c>
      <c r="C1" s="11" t="s">
        <v>55</v>
      </c>
      <c r="D1" s="11" t="s">
        <v>286</v>
      </c>
      <c r="E1" s="11" t="s">
        <v>287</v>
      </c>
      <c r="F1" s="11" t="s">
        <v>288</v>
      </c>
    </row>
    <row r="2" customFormat="false" ht="15" hidden="false" customHeight="false" outlineLevel="0" collapsed="false">
      <c r="A2" s="12" t="s">
        <v>289</v>
      </c>
      <c r="B2" s="12" t="s">
        <v>290</v>
      </c>
      <c r="C2" s="12" t="s">
        <v>291</v>
      </c>
      <c r="D2" s="12" t="s">
        <v>292</v>
      </c>
      <c r="E2" s="12" t="s">
        <v>293</v>
      </c>
      <c r="F2" s="12" t="s">
        <v>294</v>
      </c>
    </row>
    <row r="3" customFormat="false" ht="15" hidden="false" customHeight="false" outlineLevel="0" collapsed="false">
      <c r="A3" s="12" t="s">
        <v>295</v>
      </c>
      <c r="B3" s="12" t="s">
        <v>290</v>
      </c>
      <c r="C3" s="12" t="s">
        <v>291</v>
      </c>
      <c r="D3" s="12" t="s">
        <v>292</v>
      </c>
      <c r="E3" s="12" t="s">
        <v>293</v>
      </c>
      <c r="F3" s="12" t="s">
        <v>294</v>
      </c>
    </row>
    <row r="4" customFormat="false" ht="22.35" hidden="false" customHeight="false" outlineLevel="0" collapsed="false">
      <c r="A4" s="12" t="s">
        <v>296</v>
      </c>
      <c r="B4" s="12" t="s">
        <v>297</v>
      </c>
      <c r="C4" s="12" t="s">
        <v>298</v>
      </c>
      <c r="D4" s="12" t="s">
        <v>299</v>
      </c>
      <c r="E4" s="12" t="s">
        <v>300</v>
      </c>
      <c r="F4" s="12" t="s">
        <v>301</v>
      </c>
    </row>
    <row r="5" customFormat="false" ht="22.35" hidden="false" customHeight="false" outlineLevel="0" collapsed="false">
      <c r="A5" s="12" t="s">
        <v>302</v>
      </c>
      <c r="B5" s="12" t="s">
        <v>303</v>
      </c>
      <c r="C5" s="12" t="s">
        <v>304</v>
      </c>
      <c r="D5" s="12" t="s">
        <v>305</v>
      </c>
      <c r="E5" s="12" t="s">
        <v>306</v>
      </c>
      <c r="F5" s="12" t="s">
        <v>294</v>
      </c>
    </row>
    <row r="6" customFormat="false" ht="22.35" hidden="false" customHeight="false" outlineLevel="0" collapsed="false">
      <c r="A6" s="12" t="s">
        <v>307</v>
      </c>
      <c r="B6" s="12"/>
      <c r="C6" s="12"/>
      <c r="D6" s="12"/>
      <c r="E6" s="12" t="s">
        <v>308</v>
      </c>
      <c r="F6" s="12" t="s">
        <v>309</v>
      </c>
    </row>
    <row r="7" customFormat="false" ht="15" hidden="false" customHeight="false" outlineLevel="0" collapsed="false">
      <c r="A7" s="12" t="s">
        <v>310</v>
      </c>
      <c r="B7" s="12"/>
      <c r="C7" s="12"/>
      <c r="D7" s="12"/>
      <c r="E7" s="12" t="s">
        <v>311</v>
      </c>
      <c r="F7" s="12" t="s">
        <v>294</v>
      </c>
    </row>
    <row r="8" customFormat="false" ht="22.35" hidden="false" customHeight="false" outlineLevel="0" collapsed="false">
      <c r="A8" s="12" t="s">
        <v>312</v>
      </c>
      <c r="B8" s="12"/>
      <c r="C8" s="12"/>
      <c r="D8" s="12"/>
      <c r="E8" s="12" t="s">
        <v>313</v>
      </c>
      <c r="F8" s="12" t="s">
        <v>309</v>
      </c>
    </row>
    <row r="9" customFormat="false" ht="22.35" hidden="false" customHeight="false" outlineLevel="0" collapsed="false">
      <c r="A9" s="12" t="s">
        <v>314</v>
      </c>
      <c r="B9" s="12"/>
      <c r="C9" s="12"/>
      <c r="D9" s="12"/>
      <c r="E9" s="12" t="s">
        <v>315</v>
      </c>
      <c r="F9" s="12" t="s">
        <v>316</v>
      </c>
    </row>
    <row r="10" customFormat="false" ht="22.35" hidden="false" customHeight="false" outlineLevel="0" collapsed="false">
      <c r="A10" s="12" t="s">
        <v>317</v>
      </c>
      <c r="B10" s="12"/>
      <c r="C10" s="12"/>
      <c r="D10" s="12"/>
      <c r="E10" s="12" t="s">
        <v>315</v>
      </c>
      <c r="F10" s="12" t="s">
        <v>316</v>
      </c>
    </row>
    <row r="11" customFormat="false" ht="15" hidden="false" customHeight="false" outlineLevel="0" collapsed="false">
      <c r="A11" s="12" t="s">
        <v>318</v>
      </c>
      <c r="B11" s="12"/>
      <c r="C11" s="12"/>
      <c r="D11" s="12"/>
      <c r="E11" s="12" t="s">
        <v>319</v>
      </c>
      <c r="F11" s="12" t="s">
        <v>320</v>
      </c>
    </row>
    <row r="12" customFormat="false" ht="22.35" hidden="false" customHeight="false" outlineLevel="0" collapsed="false">
      <c r="A12" s="12" t="s">
        <v>321</v>
      </c>
      <c r="B12" s="12"/>
      <c r="C12" s="12"/>
      <c r="D12" s="12"/>
      <c r="E12" s="12" t="s">
        <v>322</v>
      </c>
      <c r="F12" s="12" t="s">
        <v>294</v>
      </c>
    </row>
    <row r="13" customFormat="false" ht="32.8" hidden="false" customHeight="false" outlineLevel="0" collapsed="false">
      <c r="A13" s="12" t="s">
        <v>323</v>
      </c>
      <c r="B13" s="12"/>
      <c r="C13" s="12"/>
      <c r="D13" s="12"/>
      <c r="E13" s="12" t="s">
        <v>324</v>
      </c>
      <c r="F13" s="12" t="s">
        <v>294</v>
      </c>
    </row>
    <row r="14" customFormat="false" ht="22.35" hidden="false" customHeight="false" outlineLevel="0" collapsed="false">
      <c r="A14" s="12" t="s">
        <v>325</v>
      </c>
      <c r="B14" s="12"/>
      <c r="C14" s="12"/>
      <c r="D14" s="12"/>
      <c r="E14" s="12" t="s">
        <v>326</v>
      </c>
      <c r="F14" s="12" t="s">
        <v>327</v>
      </c>
    </row>
    <row r="15" customFormat="false" ht="22.35" hidden="false" customHeight="false" outlineLevel="0" collapsed="false">
      <c r="A15" s="12" t="s">
        <v>328</v>
      </c>
      <c r="B15" s="12"/>
      <c r="C15" s="12"/>
      <c r="D15" s="12"/>
      <c r="E15" s="12" t="s">
        <v>329</v>
      </c>
      <c r="F15" s="12" t="s">
        <v>294</v>
      </c>
    </row>
    <row r="16" customFormat="false" ht="22.35" hidden="false" customHeight="false" outlineLevel="0" collapsed="false">
      <c r="A16" s="12" t="s">
        <v>330</v>
      </c>
      <c r="B16" s="12" t="s">
        <v>46</v>
      </c>
      <c r="C16" s="12" t="s">
        <v>58</v>
      </c>
      <c r="D16" s="12" t="s">
        <v>331</v>
      </c>
      <c r="E16" s="12" t="s">
        <v>332</v>
      </c>
      <c r="F16" s="12" t="s">
        <v>294</v>
      </c>
    </row>
    <row r="17" customFormat="false" ht="15" hidden="false" customHeight="false" outlineLevel="0" collapsed="false">
      <c r="A17" s="12" t="s">
        <v>333</v>
      </c>
      <c r="B17" s="12" t="s">
        <v>47</v>
      </c>
      <c r="C17" s="12" t="s">
        <v>59</v>
      </c>
      <c r="D17" s="12" t="s">
        <v>334</v>
      </c>
      <c r="E17" s="12" t="s">
        <v>335</v>
      </c>
      <c r="F17" s="12" t="s">
        <v>294</v>
      </c>
    </row>
  </sheetData>
  <autoFilter ref="A1:F17"/>
  <conditionalFormatting sqref="F2:F17">
    <cfRule type="expression" priority="2" aboveAverage="0" equalAverage="0" bottom="0" percent="0" rank="0" text="" dxfId="5">
      <formula>$F2="testé"</formula>
    </cfRule>
    <cfRule type="expression" priority="3" aboveAverage="0" equalAverage="0" bottom="0" percent="0" rank="0" text="" dxfId="5">
      <formula>$F2="compatible avec Python 3.11"</formula>
    </cfRule>
    <cfRule type="expression" priority="4" aboveAverage="0" equalAverage="0" bottom="0" percent="0" rank="0" text="" dxfId="6">
      <formula>$F2="à requalifier"</formula>
    </cfRule>
    <cfRule type="expression" priority="5" aboveAverage="0" equalAverage="0" bottom="0" percent="0" rank="0" text="" dxfId="6">
      <formula>$F2="à évaluer"</formula>
    </cfRule>
    <cfRule type="expression" priority="6" aboveAverage="0" equalAverage="0" bottom="0" percent="0" rank="0" text="" dxfId="7">
      <formula>$F2="bloquant pour Python 3.11"</formula>
    </cfRule>
    <cfRule type="expression" priority="7" aboveAverage="0" equalAverage="0" bottom="0" percent="0" rank="0" text="" dxfId="9">
      <formula>$F2="information"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1" t="s">
        <v>336</v>
      </c>
      <c r="B1" s="11" t="s">
        <v>337</v>
      </c>
      <c r="C1" s="11" t="s">
        <v>338</v>
      </c>
      <c r="D1" s="11" t="s">
        <v>339</v>
      </c>
      <c r="E1" s="11" t="s">
        <v>340</v>
      </c>
      <c r="F1" s="11" t="s">
        <v>341</v>
      </c>
    </row>
    <row r="2" customFormat="false" ht="22.35" hidden="false" customHeight="false" outlineLevel="0" collapsed="false">
      <c r="A2" s="12" t="n">
        <v>1</v>
      </c>
      <c r="B2" s="12" t="s">
        <v>342</v>
      </c>
      <c r="C2" s="12" t="s">
        <v>343</v>
      </c>
      <c r="D2" s="13"/>
      <c r="E2" s="13"/>
      <c r="F2" s="13"/>
    </row>
    <row r="3" customFormat="false" ht="22.35" hidden="false" customHeight="false" outlineLevel="0" collapsed="false">
      <c r="A3" s="12" t="n">
        <v>2</v>
      </c>
      <c r="B3" s="12" t="s">
        <v>344</v>
      </c>
      <c r="C3" s="12" t="s">
        <v>345</v>
      </c>
      <c r="D3" s="13"/>
      <c r="E3" s="13"/>
      <c r="F3" s="13"/>
    </row>
    <row r="4" customFormat="false" ht="15" hidden="false" customHeight="false" outlineLevel="0" collapsed="false">
      <c r="A4" s="12" t="n">
        <v>3</v>
      </c>
      <c r="B4" s="12" t="s">
        <v>346</v>
      </c>
      <c r="C4" s="12" t="s">
        <v>347</v>
      </c>
      <c r="D4" s="13"/>
      <c r="E4" s="13"/>
      <c r="F4" s="13"/>
    </row>
    <row r="5" customFormat="false" ht="22.35" hidden="false" customHeight="false" outlineLevel="0" collapsed="false">
      <c r="A5" s="12" t="n">
        <v>4</v>
      </c>
      <c r="B5" s="12" t="s">
        <v>348</v>
      </c>
      <c r="C5" s="12" t="s">
        <v>349</v>
      </c>
      <c r="D5" s="13"/>
      <c r="E5" s="13"/>
      <c r="F5" s="13"/>
    </row>
    <row r="6" customFormat="false" ht="22.35" hidden="false" customHeight="false" outlineLevel="0" collapsed="false">
      <c r="A6" s="12" t="n">
        <v>5</v>
      </c>
      <c r="B6" s="12" t="s">
        <v>350</v>
      </c>
      <c r="C6" s="12" t="s">
        <v>351</v>
      </c>
      <c r="D6" s="13"/>
      <c r="E6" s="13"/>
      <c r="F6" s="13"/>
    </row>
    <row r="7" customFormat="false" ht="15" hidden="false" customHeight="false" outlineLevel="0" collapsed="false">
      <c r="A7" s="12" t="n">
        <v>6</v>
      </c>
      <c r="B7" s="12" t="s">
        <v>352</v>
      </c>
      <c r="C7" s="12" t="s">
        <v>353</v>
      </c>
      <c r="D7" s="13"/>
      <c r="E7" s="13"/>
      <c r="F7" s="13"/>
    </row>
    <row r="8" customFormat="false" ht="15" hidden="false" customHeight="false" outlineLevel="0" collapsed="false">
      <c r="A8" s="12" t="n">
        <v>7</v>
      </c>
      <c r="B8" s="12" t="s">
        <v>354</v>
      </c>
      <c r="C8" s="12" t="s">
        <v>355</v>
      </c>
      <c r="D8" s="13"/>
      <c r="E8" s="13"/>
      <c r="F8" s="13"/>
    </row>
    <row r="9" customFormat="false" ht="22.35" hidden="false" customHeight="false" outlineLevel="0" collapsed="false">
      <c r="A9" s="12" t="n">
        <v>8</v>
      </c>
      <c r="B9" s="12" t="s">
        <v>356</v>
      </c>
      <c r="C9" s="12" t="s">
        <v>134</v>
      </c>
      <c r="D9" s="13"/>
      <c r="E9" s="13"/>
      <c r="F9" s="13"/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16" min="6" style="0" width="11"/>
    <col collapsed="false" customWidth="true" hidden="false" outlineLevel="0" max="17" min="17" style="0" width="34"/>
  </cols>
  <sheetData>
    <row r="1" customFormat="false" ht="33.75" hidden="false" customHeight="true" outlineLevel="0" collapsed="false">
      <c r="A1" s="11" t="s">
        <v>357</v>
      </c>
      <c r="B1" s="11" t="s">
        <v>235</v>
      </c>
      <c r="C1" s="11" t="s">
        <v>230</v>
      </c>
      <c r="D1" s="11" t="s">
        <v>231</v>
      </c>
      <c r="E1" s="11" t="s">
        <v>232</v>
      </c>
      <c r="F1" s="11" t="s">
        <v>42</v>
      </c>
      <c r="G1" s="11" t="s">
        <v>55</v>
      </c>
      <c r="H1" s="11" t="s">
        <v>63</v>
      </c>
      <c r="I1" s="11" t="s">
        <v>70</v>
      </c>
      <c r="J1" s="11" t="s">
        <v>77</v>
      </c>
      <c r="K1" s="11" t="s">
        <v>83</v>
      </c>
      <c r="L1" s="11" t="s">
        <v>88</v>
      </c>
      <c r="M1" s="11" t="s">
        <v>93</v>
      </c>
      <c r="N1" s="11" t="s">
        <v>99</v>
      </c>
      <c r="O1" s="11" t="s">
        <v>103</v>
      </c>
      <c r="P1" s="11" t="s">
        <v>108</v>
      </c>
      <c r="Q1" s="11" t="s">
        <v>358</v>
      </c>
    </row>
    <row r="2" customFormat="false" ht="15" hidden="false" customHeight="false" outlineLevel="0" collapsed="false">
      <c r="A2" s="12" t="s">
        <v>359</v>
      </c>
      <c r="B2" s="12" t="s">
        <v>243</v>
      </c>
      <c r="C2" s="12" t="s">
        <v>360</v>
      </c>
      <c r="D2" s="12" t="s">
        <v>361</v>
      </c>
      <c r="E2" s="12" t="s">
        <v>240</v>
      </c>
      <c r="F2" s="12" t="s">
        <v>47</v>
      </c>
      <c r="G2" s="12" t="s">
        <v>59</v>
      </c>
      <c r="H2" s="12" t="s">
        <v>67</v>
      </c>
      <c r="I2" s="12" t="s">
        <v>72</v>
      </c>
      <c r="J2" s="12" t="s">
        <v>80</v>
      </c>
      <c r="K2" s="12" t="s">
        <v>86</v>
      </c>
      <c r="L2" s="12" t="s">
        <v>91</v>
      </c>
      <c r="M2" s="12" t="s">
        <v>96</v>
      </c>
      <c r="N2" s="12" t="s">
        <v>102</v>
      </c>
      <c r="O2" s="12" t="s">
        <v>105</v>
      </c>
      <c r="P2" s="12" t="s">
        <v>110</v>
      </c>
      <c r="Q2" s="12" t="s">
        <v>362</v>
      </c>
    </row>
    <row r="3" customFormat="false" ht="15" hidden="false" customHeight="false" outlineLevel="0" collapsed="false">
      <c r="A3" s="12" t="s">
        <v>363</v>
      </c>
      <c r="B3" s="12" t="s">
        <v>134</v>
      </c>
      <c r="C3" s="12" t="s">
        <v>364</v>
      </c>
      <c r="D3" s="12" t="s">
        <v>365</v>
      </c>
      <c r="E3" s="12" t="s">
        <v>366</v>
      </c>
      <c r="F3" s="12" t="s">
        <v>46</v>
      </c>
      <c r="G3" s="12" t="s">
        <v>58</v>
      </c>
      <c r="H3" s="12" t="s">
        <v>66</v>
      </c>
      <c r="I3" s="12" t="s">
        <v>72</v>
      </c>
      <c r="J3" s="12" t="s">
        <v>79</v>
      </c>
      <c r="K3" s="12" t="s">
        <v>85</v>
      </c>
      <c r="L3" s="12" t="s">
        <v>90</v>
      </c>
      <c r="M3" s="12" t="s">
        <v>95</v>
      </c>
      <c r="N3" s="12" t="s">
        <v>101</v>
      </c>
      <c r="O3" s="12" t="s">
        <v>105</v>
      </c>
      <c r="P3" s="12" t="s">
        <v>110</v>
      </c>
      <c r="Q3" s="12" t="s">
        <v>367</v>
      </c>
    </row>
    <row r="4" customFormat="false" ht="15" hidden="false" customHeight="false" outlineLevel="0" collapsed="false">
      <c r="A4" s="12" t="s">
        <v>368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customFormat="false" ht="15" hidden="false" customHeight="false" outlineLevel="0" collapsed="false">
      <c r="A5" s="12" t="s">
        <v>369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7" customFormat="false" ht="15" hidden="false" customHeight="false" outlineLevel="0" collapsed="false">
      <c r="A7" s="4" t="s">
        <v>370</v>
      </c>
    </row>
  </sheetData>
  <autoFilter ref="A1:Q5"/>
  <conditionalFormatting sqref="F2">
    <cfRule type="expression" priority="2" aboveAverage="0" equalAverage="0" bottom="0" percent="0" rank="0" text="" dxfId="6">
      <formula>F2&lt;&gt;F$3</formula>
    </cfRule>
    <cfRule type="expression" priority="3" aboveAverage="0" equalAverage="0" bottom="0" percent="0" rank="0" text="" dxfId="5">
      <formula>F2=F$3</formula>
    </cfRule>
  </conditionalFormatting>
  <conditionalFormatting sqref="G2">
    <cfRule type="expression" priority="4" aboveAverage="0" equalAverage="0" bottom="0" percent="0" rank="0" text="" dxfId="6">
      <formula>G2&lt;&gt;G$3</formula>
    </cfRule>
    <cfRule type="expression" priority="5" aboveAverage="0" equalAverage="0" bottom="0" percent="0" rank="0" text="" dxfId="5">
      <formula>G2=G$3</formula>
    </cfRule>
  </conditionalFormatting>
  <conditionalFormatting sqref="H2">
    <cfRule type="expression" priority="6" aboveAverage="0" equalAverage="0" bottom="0" percent="0" rank="0" text="" dxfId="6">
      <formula>H2&lt;&gt;H$3</formula>
    </cfRule>
    <cfRule type="expression" priority="7" aboveAverage="0" equalAverage="0" bottom="0" percent="0" rank="0" text="" dxfId="5">
      <formula>H2=H$3</formula>
    </cfRule>
  </conditionalFormatting>
  <conditionalFormatting sqref="I2">
    <cfRule type="expression" priority="8" aboveAverage="0" equalAverage="0" bottom="0" percent="0" rank="0" text="" dxfId="6">
      <formula>I2&lt;&gt;I$3</formula>
    </cfRule>
    <cfRule type="expression" priority="9" aboveAverage="0" equalAverage="0" bottom="0" percent="0" rank="0" text="" dxfId="5">
      <formula>I2=I$3</formula>
    </cfRule>
  </conditionalFormatting>
  <conditionalFormatting sqref="J2">
    <cfRule type="expression" priority="10" aboveAverage="0" equalAverage="0" bottom="0" percent="0" rank="0" text="" dxfId="6">
      <formula>J2&lt;&gt;J$3</formula>
    </cfRule>
    <cfRule type="expression" priority="11" aboveAverage="0" equalAverage="0" bottom="0" percent="0" rank="0" text="" dxfId="5">
      <formula>J2=J$3</formula>
    </cfRule>
  </conditionalFormatting>
  <conditionalFormatting sqref="K2">
    <cfRule type="expression" priority="12" aboveAverage="0" equalAverage="0" bottom="0" percent="0" rank="0" text="" dxfId="6">
      <formula>K2&lt;&gt;K$3</formula>
    </cfRule>
    <cfRule type="expression" priority="13" aboveAverage="0" equalAverage="0" bottom="0" percent="0" rank="0" text="" dxfId="5">
      <formula>K2=K$3</formula>
    </cfRule>
  </conditionalFormatting>
  <conditionalFormatting sqref="L2">
    <cfRule type="expression" priority="14" aboveAverage="0" equalAverage="0" bottom="0" percent="0" rank="0" text="" dxfId="6">
      <formula>L2&lt;&gt;L$3</formula>
    </cfRule>
    <cfRule type="expression" priority="15" aboveAverage="0" equalAverage="0" bottom="0" percent="0" rank="0" text="" dxfId="5">
      <formula>L2=L$3</formula>
    </cfRule>
  </conditionalFormatting>
  <conditionalFormatting sqref="M2">
    <cfRule type="expression" priority="16" aboveAverage="0" equalAverage="0" bottom="0" percent="0" rank="0" text="" dxfId="6">
      <formula>M2&lt;&gt;M$3</formula>
    </cfRule>
    <cfRule type="expression" priority="17" aboveAverage="0" equalAverage="0" bottom="0" percent="0" rank="0" text="" dxfId="5">
      <formula>M2=M$3</formula>
    </cfRule>
  </conditionalFormatting>
  <conditionalFormatting sqref="N2">
    <cfRule type="expression" priority="18" aboveAverage="0" equalAverage="0" bottom="0" percent="0" rank="0" text="" dxfId="6">
      <formula>N2&lt;&gt;N$3</formula>
    </cfRule>
    <cfRule type="expression" priority="19" aboveAverage="0" equalAverage="0" bottom="0" percent="0" rank="0" text="" dxfId="5">
      <formula>N2=N$3</formula>
    </cfRule>
  </conditionalFormatting>
  <conditionalFormatting sqref="O2">
    <cfRule type="expression" priority="20" aboveAverage="0" equalAverage="0" bottom="0" percent="0" rank="0" text="" dxfId="6">
      <formula>O2&lt;&gt;O$3</formula>
    </cfRule>
    <cfRule type="expression" priority="21" aboveAverage="0" equalAverage="0" bottom="0" percent="0" rank="0" text="" dxfId="5">
      <formula>O2=O$3</formula>
    </cfRule>
  </conditionalFormatting>
  <conditionalFormatting sqref="P2">
    <cfRule type="expression" priority="22" aboveAverage="0" equalAverage="0" bottom="0" percent="0" rank="0" text="" dxfId="6">
      <formula>P2&lt;&gt;P$3</formula>
    </cfRule>
    <cfRule type="expression" priority="23" aboveAverage="0" equalAverage="0" bottom="0" percent="0" rank="0" text="" dxfId="5">
      <formula>P2=P$3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2026-10-30T13:08:51Z</dcterms:created>
  <dc:creator>openpyxl</dc:creator>
  <dc:description/>
  <dc:language>en-US</dc:language>
  <cp:lastModifiedBy/>
  <dcterms:modified xsi:type="dcterms:W3CDTF">2026-10-30T13:08:52Z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